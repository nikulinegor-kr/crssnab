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egornikulin/Downloads/"/>
    </mc:Choice>
  </mc:AlternateContent>
  <xr:revisionPtr revIDLastSave="0" documentId="13_ncr:1_{5300B733-303A-5B4D-9729-332C87100372}" xr6:coauthVersionLast="47" xr6:coauthVersionMax="47" xr10:uidLastSave="{00000000-0000-0000-0000-000000000000}"/>
  <bookViews>
    <workbookView xWindow="0" yWindow="620" windowWidth="51200" windowHeight="28180" activeTab="92" xr2:uid="{00000000-000D-0000-FFFF-FFFF00000000}"/>
  </bookViews>
  <sheets>
    <sheet name="Август 2021" sheetId="2" state="hidden" r:id="rId1"/>
    <sheet name="Сентябрь 2021" sheetId="3" state="hidden" r:id="rId2"/>
    <sheet name="Октябрь 2021" sheetId="4" state="hidden" r:id="rId3"/>
    <sheet name="Ноябрь 2021" sheetId="5" state="hidden" r:id="rId4"/>
    <sheet name="Декабрь 2021" sheetId="6" state="hidden" r:id="rId5"/>
    <sheet name="Январь 2022" sheetId="7" state="hidden" r:id="rId6"/>
    <sheet name="Февраль 2022" sheetId="8" state="hidden" r:id="rId7"/>
    <sheet name="Март 2022" sheetId="9" state="hidden" r:id="rId8"/>
    <sheet name="Апрель 2022" sheetId="10" state="hidden" r:id="rId9"/>
    <sheet name="Апрель 2022 - Н" sheetId="11" state="hidden" r:id="rId10"/>
    <sheet name="Май 2022" sheetId="12" state="hidden" r:id="rId11"/>
    <sheet name="Май 2022 - Н" sheetId="13" state="hidden" r:id="rId12"/>
    <sheet name="Июнь 2022" sheetId="14" state="hidden" r:id="rId13"/>
    <sheet name="Июнь 2022 - Н" sheetId="15" state="hidden" r:id="rId14"/>
    <sheet name="Июль 2022" sheetId="16" state="hidden" r:id="rId15"/>
    <sheet name="Июль 2022 - Н" sheetId="17" state="hidden" r:id="rId16"/>
    <sheet name="Август 2022" sheetId="18" state="hidden" r:id="rId17"/>
    <sheet name="Сентябрь 2022" sheetId="19" state="hidden" r:id="rId18"/>
    <sheet name="Сентябрь 2022 - Н" sheetId="20" state="hidden" r:id="rId19"/>
    <sheet name="Август 2022 - Н" sheetId="21" state="hidden" r:id="rId20"/>
    <sheet name="Октябрь 2022" sheetId="22" state="hidden" r:id="rId21"/>
    <sheet name="Октябрь 2022 - Н" sheetId="23" state="hidden" r:id="rId22"/>
    <sheet name="Ноябрь 2022" sheetId="24" state="hidden" r:id="rId23"/>
    <sheet name="Ноябрь 2022 - Н" sheetId="25" state="hidden" r:id="rId24"/>
    <sheet name="Декабрь 2022" sheetId="26" state="hidden" r:id="rId25"/>
    <sheet name="Декабрь 2022 - Н" sheetId="27" state="hidden" r:id="rId26"/>
    <sheet name="Январь 2023" sheetId="28" state="hidden" r:id="rId27"/>
    <sheet name="Январь 2023 - Н" sheetId="29" state="hidden" r:id="rId28"/>
    <sheet name="Февраль 2023 - Н" sheetId="30" state="hidden" r:id="rId29"/>
    <sheet name="Февраль 2023" sheetId="31" state="hidden" r:id="rId30"/>
    <sheet name="Март 2023" sheetId="32" state="hidden" r:id="rId31"/>
    <sheet name="Март 2023 - Н" sheetId="33" state="hidden" r:id="rId32"/>
    <sheet name="Апрель 2023" sheetId="34" state="hidden" r:id="rId33"/>
    <sheet name="Апрель 2023 - Н" sheetId="35" state="hidden" r:id="rId34"/>
    <sheet name="Май 2023 " sheetId="36" state="hidden" r:id="rId35"/>
    <sheet name="Май 2023 - Н" sheetId="37" state="hidden" r:id="rId36"/>
    <sheet name="Июнь 2023" sheetId="38" state="hidden" r:id="rId37"/>
    <sheet name="Июнь 2023 - Н" sheetId="39" state="hidden" r:id="rId38"/>
    <sheet name="Июль 2023" sheetId="40" state="hidden" r:id="rId39"/>
    <sheet name="Июль 2023 - Н" sheetId="41" state="hidden" r:id="rId40"/>
    <sheet name="Август 2023" sheetId="42" state="hidden" r:id="rId41"/>
    <sheet name="Август 2023 - Н" sheetId="43" state="hidden" r:id="rId42"/>
    <sheet name="Сентябрь 2023" sheetId="44" state="hidden" r:id="rId43"/>
    <sheet name="Сентябрь 2023 - Н" sheetId="45" state="hidden" r:id="rId44"/>
    <sheet name="Октябрь 2023 - УУ" sheetId="46" state="hidden" r:id="rId45"/>
    <sheet name="Октябрь 2023 - НН" sheetId="47" state="hidden" r:id="rId46"/>
    <sheet name="Ноябрь 2023- УУ" sheetId="48" state="hidden" r:id="rId47"/>
    <sheet name="Ноябрь 2023 - НН" sheetId="49" state="hidden" r:id="rId48"/>
    <sheet name="Декабрь 2023 УУ" sheetId="50" state="hidden" r:id="rId49"/>
    <sheet name="Декабрь 2023" sheetId="51" state="hidden" r:id="rId50"/>
    <sheet name="Январь 2024 - УУ" sheetId="52" state="hidden" r:id="rId51"/>
    <sheet name="Январь 2024" sheetId="53" state="hidden" r:id="rId52"/>
    <sheet name="Февраль 2024-УУ" sheetId="54" state="hidden" r:id="rId53"/>
    <sheet name="Февраль 2024" sheetId="55" state="hidden" r:id="rId54"/>
    <sheet name="Март 2024-УУ" sheetId="56" state="hidden" r:id="rId55"/>
    <sheet name="Март 2024" sheetId="57" state="hidden" r:id="rId56"/>
    <sheet name="Апрель 2024-УУ" sheetId="58" state="hidden" r:id="rId57"/>
    <sheet name="Апрель 2024" sheetId="59" state="hidden" r:id="rId58"/>
    <sheet name="Май 2024-УУ" sheetId="60" state="hidden" r:id="rId59"/>
    <sheet name="Май 2024" sheetId="61" state="hidden" r:id="rId60"/>
    <sheet name="ИЮНЬ 2024-УУ" sheetId="62" state="hidden" r:id="rId61"/>
    <sheet name="ИЮНЬ 2024" sheetId="63" state="hidden" r:id="rId62"/>
    <sheet name="ИЮЛЬ 2024-УУ" sheetId="64" state="hidden" r:id="rId63"/>
    <sheet name="ИЮЛЬ 2024" sheetId="65" state="hidden" r:id="rId64"/>
    <sheet name="АВГУСТ 2024-УУ" sheetId="66" state="hidden" r:id="rId65"/>
    <sheet name="АВГУСТ 2024" sheetId="67" state="hidden" r:id="rId66"/>
    <sheet name="СЕНТЯБРЬ-УУ 2024" sheetId="68" state="hidden" r:id="rId67"/>
    <sheet name="СЕНТЯБРЬ 2024" sheetId="69" state="hidden" r:id="rId68"/>
    <sheet name="ОКТЯБРЬ 2024-УУ" sheetId="70" state="hidden" r:id="rId69"/>
    <sheet name="ОКТЯБРЬ 2024" sheetId="71" state="hidden" r:id="rId70"/>
    <sheet name="НОЯБРЬ 2024-УУ" sheetId="72" state="hidden" r:id="rId71"/>
    <sheet name="НОЯБРЬ 2024" sheetId="73" state="hidden" r:id="rId72"/>
    <sheet name="ДЕКАБРЬ 2024-УУ" sheetId="74" state="hidden" r:id="rId73"/>
    <sheet name="ДЕКАБРЬ 2024" sheetId="75" state="hidden" r:id="rId74"/>
    <sheet name="ЯНВАРЬ 2025-УУ" sheetId="76" state="hidden" r:id="rId75"/>
    <sheet name="ЯНВАРЬ 2025" sheetId="77" state="hidden" r:id="rId76"/>
    <sheet name="ФЕВРАЛЬ 2025-УУ" sheetId="78" state="hidden" r:id="rId77"/>
    <sheet name="ФЕВРАЛЬ 2025" sheetId="79" state="hidden" r:id="rId78"/>
    <sheet name="МАРТ 2025-УУ" sheetId="80" state="hidden" r:id="rId79"/>
    <sheet name="МАРТ 2025" sheetId="81" state="hidden" r:id="rId80"/>
    <sheet name="АПРЕЛЬ 2025-УУ" sheetId="82" state="hidden" r:id="rId81"/>
    <sheet name="АПРЕЛЬ 2025" sheetId="83" state="hidden" r:id="rId82"/>
    <sheet name="МАЙ 2025-УУ" sheetId="84" state="hidden" r:id="rId83"/>
    <sheet name="МАЙ 2025" sheetId="85" state="hidden" r:id="rId84"/>
    <sheet name="ИЮНЬ 2025-УУ" sheetId="86" state="hidden" r:id="rId85"/>
    <sheet name="ИЮНЬ 2025" sheetId="87" state="hidden" r:id="rId86"/>
    <sheet name="ИЮЛЬ 2025-УУ" sheetId="88" state="hidden" r:id="rId87"/>
    <sheet name="ИЮЛЬ 2025" sheetId="89" state="hidden" r:id="rId88"/>
    <sheet name="АВГУСТ 2025-УУ" sheetId="90" state="hidden" r:id="rId89"/>
    <sheet name="АВГУСТ 2025" sheetId="91" state="hidden" r:id="rId90"/>
    <sheet name="СЕНТЯБРЬ 2025-УУ" sheetId="92" state="hidden" r:id="rId91"/>
    <sheet name="СЕНТЯБРЬ 2025" sheetId="93" state="hidden" r:id="rId92"/>
    <sheet name="Октябрь 2025-УУ" sheetId="94" r:id="rId93"/>
    <sheet name="Октябрь 2025" sheetId="95" r:id="rId9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95" l="1"/>
  <c r="E52" i="95" s="1"/>
  <c r="E51" i="94"/>
  <c r="E52" i="94" s="1"/>
  <c r="E37" i="93"/>
  <c r="E38" i="93" s="1"/>
  <c r="E37" i="92"/>
  <c r="E38" i="92" s="1"/>
  <c r="E38" i="91"/>
  <c r="E39" i="91" s="1"/>
  <c r="E46" i="90"/>
  <c r="E45" i="90"/>
  <c r="E44" i="89"/>
  <c r="E45" i="89" s="1"/>
  <c r="E54" i="88"/>
  <c r="E55" i="88" s="1"/>
  <c r="E35" i="87"/>
  <c r="E36" i="87" s="1"/>
  <c r="E39" i="86"/>
  <c r="E38" i="86"/>
  <c r="E48" i="85"/>
  <c r="E49" i="85" s="1"/>
  <c r="E62" i="84"/>
  <c r="E63" i="84" s="1"/>
  <c r="E42" i="83"/>
  <c r="E43" i="83" s="1"/>
  <c r="E43" i="82"/>
  <c r="E42" i="82"/>
  <c r="E26" i="81"/>
  <c r="E27" i="81" s="1"/>
  <c r="E26" i="80"/>
  <c r="E27" i="80" s="1"/>
  <c r="E33" i="79"/>
  <c r="E34" i="79" s="1"/>
  <c r="E39" i="78"/>
  <c r="E38" i="78"/>
  <c r="E23" i="77"/>
  <c r="E25" i="77" s="1"/>
  <c r="E23" i="76"/>
  <c r="E25" i="76" s="1"/>
  <c r="E43" i="75"/>
  <c r="E45" i="75" s="1"/>
  <c r="E45" i="74"/>
  <c r="E43" i="74"/>
  <c r="E36" i="73"/>
  <c r="E38" i="73" s="1"/>
  <c r="E36" i="72"/>
  <c r="E38" i="72" s="1"/>
  <c r="E30" i="71"/>
  <c r="E32" i="71" s="1"/>
  <c r="E32" i="70"/>
  <c r="E30" i="70"/>
  <c r="E28" i="69"/>
  <c r="E30" i="69" s="1"/>
  <c r="E34" i="68"/>
  <c r="E36" i="68" s="1"/>
  <c r="E37" i="67"/>
  <c r="E39" i="67" s="1"/>
  <c r="E48" i="66"/>
  <c r="E46" i="66"/>
  <c r="E28" i="65"/>
  <c r="E30" i="65" s="1"/>
  <c r="E49" i="64"/>
  <c r="E51" i="64" s="1"/>
  <c r="E38" i="63"/>
  <c r="E40" i="63" s="1"/>
  <c r="E42" i="62"/>
  <c r="E40" i="62"/>
  <c r="E32" i="61"/>
  <c r="E34" i="61" s="1"/>
  <c r="E38" i="60"/>
  <c r="E40" i="60" s="1"/>
  <c r="E36" i="59"/>
  <c r="E38" i="59" s="1"/>
  <c r="E48" i="58"/>
  <c r="E46" i="58"/>
  <c r="E35" i="57"/>
  <c r="E37" i="57" s="1"/>
  <c r="E47" i="56"/>
  <c r="E49" i="56" s="1"/>
  <c r="E42" i="55"/>
  <c r="E44" i="55" s="1"/>
  <c r="E56" i="54"/>
  <c r="E54" i="54"/>
  <c r="E20" i="53"/>
  <c r="E22" i="53" s="1"/>
  <c r="E23" i="52"/>
  <c r="E25" i="52" s="1"/>
  <c r="E23" i="51"/>
  <c r="E25" i="51" s="1"/>
  <c r="E29" i="50"/>
  <c r="E27" i="50"/>
  <c r="E29" i="49"/>
  <c r="E31" i="49" s="1"/>
  <c r="E36" i="48"/>
  <c r="E38" i="48" s="1"/>
  <c r="E27" i="47"/>
  <c r="E29" i="47" s="1"/>
  <c r="E33" i="46"/>
  <c r="E31" i="46"/>
  <c r="E26" i="45"/>
  <c r="E28" i="45" s="1"/>
  <c r="E33" i="44"/>
  <c r="E35" i="44" s="1"/>
  <c r="E41" i="43"/>
  <c r="E43" i="43" s="1"/>
  <c r="E47" i="42"/>
  <c r="E45" i="42"/>
  <c r="E31" i="41"/>
  <c r="E33" i="41" s="1"/>
  <c r="E35" i="40"/>
  <c r="E37" i="40" s="1"/>
  <c r="E28" i="39"/>
  <c r="E30" i="39" s="1"/>
  <c r="E43" i="38"/>
  <c r="E41" i="38"/>
  <c r="E56" i="37"/>
  <c r="E58" i="37" s="1"/>
  <c r="E75" i="36"/>
  <c r="E77" i="36" s="1"/>
  <c r="E47" i="35"/>
  <c r="E49" i="35" s="1"/>
  <c r="E58" i="34"/>
  <c r="E56" i="34"/>
  <c r="E43" i="33"/>
  <c r="E45" i="33" s="1"/>
  <c r="E41" i="32"/>
  <c r="E43" i="32" s="1"/>
  <c r="E39" i="31"/>
  <c r="E41" i="31" s="1"/>
  <c r="E37" i="30"/>
  <c r="E35" i="30"/>
  <c r="E33" i="29"/>
  <c r="E35" i="29" s="1"/>
  <c r="E38" i="28"/>
  <c r="E40" i="28" s="1"/>
  <c r="E53" i="27"/>
  <c r="E55" i="27" s="1"/>
  <c r="E53" i="26"/>
  <c r="E51" i="26"/>
  <c r="E43" i="25"/>
  <c r="E45" i="25" s="1"/>
  <c r="E42" i="24"/>
  <c r="E44" i="24" s="1"/>
  <c r="E36" i="23"/>
  <c r="E38" i="23" s="1"/>
  <c r="E29" i="22"/>
  <c r="E27" i="22"/>
  <c r="E30" i="21"/>
  <c r="E32" i="21" s="1"/>
  <c r="E18" i="20"/>
  <c r="E20" i="20" s="1"/>
  <c r="E34" i="19"/>
  <c r="E36" i="19" s="1"/>
  <c r="E35" i="18"/>
  <c r="E33" i="18"/>
  <c r="E21" i="17"/>
  <c r="E23" i="17" s="1"/>
  <c r="E25" i="16"/>
  <c r="E27" i="16" s="1"/>
  <c r="E23" i="15"/>
  <c r="E25" i="15" s="1"/>
  <c r="E32" i="14"/>
  <c r="E34" i="14" s="1"/>
  <c r="E19" i="13"/>
  <c r="E21" i="13" s="1"/>
  <c r="E18" i="12"/>
  <c r="E37" i="12" s="1"/>
  <c r="E39" i="12" s="1"/>
  <c r="E15" i="11"/>
  <c r="E17" i="11" s="1"/>
  <c r="E29" i="10"/>
  <c r="E27" i="10"/>
  <c r="E44" i="9"/>
  <c r="E42" i="9"/>
  <c r="E47" i="8"/>
  <c r="E49" i="8" s="1"/>
  <c r="E51" i="7"/>
  <c r="E53" i="7" s="1"/>
  <c r="E65" i="6"/>
  <c r="E63" i="6"/>
  <c r="E64" i="5"/>
  <c r="E62" i="5"/>
  <c r="E48" i="4"/>
  <c r="F50" i="4" s="1"/>
  <c r="E37" i="3"/>
  <c r="F39" i="3" s="1"/>
  <c r="F53" i="2"/>
  <c r="E51" i="2"/>
</calcChain>
</file>

<file path=xl/sharedStrings.xml><?xml version="1.0" encoding="utf-8"?>
<sst xmlns="http://schemas.openxmlformats.org/spreadsheetml/2006/main" count="9542" uniqueCount="3038">
  <si>
    <t xml:space="preserve">                                                     ПРИЛОЖЕНИЕ №1</t>
  </si>
  <si>
    <t xml:space="preserve">                                                                                                       К агентскому договору № 1-21 от «28» мая 2021 г.</t>
  </si>
  <si>
    <t xml:space="preserve">                                                                                                       Кому: ООО «САХАРЕСУРС»</t>
  </si>
  <si>
    <t xml:space="preserve">                                                                                                       Республика Саха (Якутия), г. Нерюнгри,</t>
  </si>
  <si>
    <t xml:space="preserve">                                                                                                       пос. Серебряный Бор, д. 401</t>
  </si>
  <si>
    <t xml:space="preserve">                                                                                                       тел./факс: +7 (41147) 6-46-62</t>
  </si>
  <si>
    <t>Отчет агента</t>
  </si>
  <si>
    <t>по агентскому договору №1-21 от 28.05.2021г.</t>
  </si>
  <si>
    <t>№ п/п</t>
  </si>
  <si>
    <t>ТМЦ</t>
  </si>
  <si>
    <t>Контрагент</t>
  </si>
  <si>
    <t>Сумма закупа</t>
  </si>
  <si>
    <t>№ Счета</t>
  </si>
  <si>
    <t>№29</t>
  </si>
  <si>
    <t>ИП Юдин О.В</t>
  </si>
  <si>
    <t>ООО "Кесл"</t>
  </si>
  <si>
    <t>ООО СибДорСнаб</t>
  </si>
  <si>
    <t>-</t>
  </si>
  <si>
    <t>Наличные</t>
  </si>
  <si>
    <t>ООО Кесл</t>
  </si>
  <si>
    <t>ООО "Стандартпарк Сибирь"</t>
  </si>
  <si>
    <t>ИП Юдин О</t>
  </si>
  <si>
    <t>ООО "ГИДРОТРАК"</t>
  </si>
  <si>
    <t>ИП Юдин</t>
  </si>
  <si>
    <t>ИТОГО:</t>
  </si>
  <si>
    <t>Прошу предоставить возражения, при их наличии, в 5-дневный срок, в соответствии с условиями агентского договора.</t>
  </si>
  <si>
    <t>Отчет сдал:   ____________________                                                                                                          Отчет принял:  _________________</t>
  </si>
  <si>
    <t xml:space="preserve">                                                                                                                                                                         Генеральный директор ООО«САХАРЕСУРС»</t>
  </si>
  <si>
    <t>ИП Никулин Егор Викторович                                                                                                                     Переведенцев М.Л.</t>
  </si>
  <si>
    <t xml:space="preserve">За период с 01.08.2021 г. по 30.08.2021 г. произведен закуп ТМЦ:
</t>
  </si>
  <si>
    <t>Труба 110х5</t>
  </si>
  <si>
    <t>ИП Лягаев Николай Юрьевич</t>
  </si>
  <si>
    <t>Лента DELTA</t>
  </si>
  <si>
    <t>ООО "Альфа Трейд"</t>
  </si>
  <si>
    <t>710/1</t>
  </si>
  <si>
    <t>Светильники в переговорную</t>
  </si>
  <si>
    <t>OОО "ВсеИнструменты.ру"</t>
  </si>
  <si>
    <t>2108-100101-79905</t>
  </si>
  <si>
    <t>Гидроцилиндр</t>
  </si>
  <si>
    <t>ООО Дортехника</t>
  </si>
  <si>
    <t>Резиновые ножи (лемехи) отвал на кдм</t>
  </si>
  <si>
    <t>ООО Верста</t>
  </si>
  <si>
    <t>Инструмент Шлиф</t>
  </si>
  <si>
    <t>ООО НТС</t>
  </si>
  <si>
    <t>Гвозди для нейлера</t>
  </si>
  <si>
    <t>OОО «ВсеИнструменты.ру»</t>
  </si>
  <si>
    <t>2108-140900-05263</t>
  </si>
  <si>
    <t>Форсунка ЭД 405</t>
  </si>
  <si>
    <t>АО "Альянс-Авто"</t>
  </si>
  <si>
    <t>Б  70928/1</t>
  </si>
  <si>
    <t>Жидкое мыло tork</t>
  </si>
  <si>
    <t>ООО "Атмосфера чистоты"</t>
  </si>
  <si>
    <t>24328/Н</t>
  </si>
  <si>
    <t xml:space="preserve">Диски шлифовальные </t>
  </si>
  <si>
    <t>2108-140900-05827</t>
  </si>
  <si>
    <t>Фонарь сигнальный на барьеры</t>
  </si>
  <si>
    <t>ООО "СибДорСнаб"</t>
  </si>
  <si>
    <t>Полиуретановая монтажная пена</t>
  </si>
  <si>
    <t>ООО "Сибирская Усадьба</t>
  </si>
  <si>
    <t>УТ-422</t>
  </si>
  <si>
    <t>Огнеупорная черная краска</t>
  </si>
  <si>
    <t>ООО СибирьПромЭксперт</t>
  </si>
  <si>
    <t>Лежачий полицейский 2х6м</t>
  </si>
  <si>
    <t>РС-3722</t>
  </si>
  <si>
    <t>Лист металла СТ45Г для ножей</t>
  </si>
  <si>
    <t>ООО ТД "АЛЬЯНС-М"</t>
  </si>
  <si>
    <t>Кирпич</t>
  </si>
  <si>
    <t>ООО ЛИКолор</t>
  </si>
  <si>
    <t>Кабель ВББШВ 60м</t>
  </si>
  <si>
    <t>ООО "БС-Электро"</t>
  </si>
  <si>
    <t>Картридж чёрный 3шт</t>
  </si>
  <si>
    <t>ООО "Открытые технологии"</t>
  </si>
  <si>
    <t>Отливы №1</t>
  </si>
  <si>
    <t>ООО "АРТПРОФИ"</t>
  </si>
  <si>
    <t>Фары CAT 318/CAT 329D</t>
  </si>
  <si>
    <t>ООО Горные Машины</t>
  </si>
  <si>
    <t>Металический штакетник</t>
  </si>
  <si>
    <t>ООО "КЕНИКС"</t>
  </si>
  <si>
    <t>Керамогранит (рестоврация)</t>
  </si>
  <si>
    <t>ООО "ССС"</t>
  </si>
  <si>
    <t>Стекло двери Hundai H940S</t>
  </si>
  <si>
    <t>ООО НеоПартс</t>
  </si>
  <si>
    <t>УТ-651</t>
  </si>
  <si>
    <t>БО Иенгра</t>
  </si>
  <si>
    <t>СибДорСнаб</t>
  </si>
  <si>
    <t>№429</t>
  </si>
  <si>
    <t>Пластиковый фасад</t>
  </si>
  <si>
    <t>ООО Строймет</t>
  </si>
  <si>
    <t>№3548</t>
  </si>
  <si>
    <t xml:space="preserve">Плитка гранит </t>
  </si>
  <si>
    <t>ООО «БАРЛЕТ»</t>
  </si>
  <si>
    <t>№212</t>
  </si>
  <si>
    <t xml:space="preserve">Круги шлифовальные/ гвозди </t>
  </si>
  <si>
    <t>ООО ВсеИнструменты.ру</t>
  </si>
  <si>
    <t>2108-140900-30811</t>
  </si>
  <si>
    <t xml:space="preserve">ЗЧ для ТО TLC Fortuner </t>
  </si>
  <si>
    <t>ООО Автомир-54</t>
  </si>
  <si>
    <t>№67304022</t>
  </si>
  <si>
    <t>Стекло лобовое  CAT 330</t>
  </si>
  <si>
    <t>УТ-671</t>
  </si>
  <si>
    <t>Рамки офисные</t>
  </si>
  <si>
    <t>ООО "ИКЕА ДОМ"</t>
  </si>
  <si>
    <t>Чек</t>
  </si>
  <si>
    <t xml:space="preserve">Уличное освещение (Фонари)  </t>
  </si>
  <si>
    <t>ООО Леруа Мерлен</t>
  </si>
  <si>
    <t xml:space="preserve">Уличное освещение (Фонари на бес)  </t>
  </si>
  <si>
    <t>Краска по металу RAL 7024</t>
  </si>
  <si>
    <t>Шрусы/Диск сцепления TLC 105/ Актуатор Mersedes</t>
  </si>
  <si>
    <t>АА000213</t>
  </si>
  <si>
    <t>Москитная сетка</t>
  </si>
  <si>
    <t>2108-140900-38455 / 2108-140900-38461</t>
  </si>
  <si>
    <t>Нижние секции ворот</t>
  </si>
  <si>
    <t>ООО ПК ВходныеСистемы</t>
  </si>
  <si>
    <t>№3149</t>
  </si>
  <si>
    <t>Фильтра Bomag</t>
  </si>
  <si>
    <t>АО "Кентек"</t>
  </si>
  <si>
    <t>№53386</t>
  </si>
  <si>
    <t>Лента для пароизоляции</t>
  </si>
  <si>
    <t>ООО КОЛОРЛОН</t>
  </si>
  <si>
    <t>Датчик буста Mersedes</t>
  </si>
  <si>
    <t>AА000213</t>
  </si>
  <si>
    <t xml:space="preserve">Сумма вознаграждения согласно п. 4.2. агентского договора № 1-21 от «28» мая 2021 г. за август 2021г. </t>
  </si>
  <si>
    <t xml:space="preserve">За период с 01.09.2021 г. по 30.09.2021 г. произведен закуп ТМЦ:
</t>
  </si>
  <si>
    <t>Насос Bomag</t>
  </si>
  <si>
    <t>ООО Коррус Тех</t>
  </si>
  <si>
    <t>Вал привода насоса Bomag</t>
  </si>
  <si>
    <t>Клей для керамогранита (рестоврация)</t>
  </si>
  <si>
    <t>ООО "Изумруд-керамика"</t>
  </si>
  <si>
    <t>Секции ворот Алютех мойка</t>
  </si>
  <si>
    <t>Отливы 3 (на цоколь с камнем)</t>
  </si>
  <si>
    <t>Стекло двери BOMAG 141</t>
  </si>
  <si>
    <t>ООО Коррус-Тех</t>
  </si>
  <si>
    <t>Крыло грейдер</t>
  </si>
  <si>
    <t>ООО "ТД ЮУМК"</t>
  </si>
  <si>
    <t>Камин дома</t>
  </si>
  <si>
    <t>ИП Новиков Е.Ю</t>
  </si>
  <si>
    <t>Ежедневники</t>
  </si>
  <si>
    <t>ООО ДНА Трейдинг</t>
  </si>
  <si>
    <t>Комплектующие камин дом</t>
  </si>
  <si>
    <t>ООО Тепло Тех</t>
  </si>
  <si>
    <t>Сальники Hyundai</t>
  </si>
  <si>
    <t>УТ-738</t>
  </si>
  <si>
    <t>Сита SBM</t>
  </si>
  <si>
    <t>ООО БЗПС</t>
  </si>
  <si>
    <t xml:space="preserve">Замена фонарей </t>
  </si>
  <si>
    <t>ООО Леру Мерлен</t>
  </si>
  <si>
    <t>СО зима</t>
  </si>
  <si>
    <t>ООО ТЕХНОАВИА-Сибирь</t>
  </si>
  <si>
    <t>УТ-8282</t>
  </si>
  <si>
    <t>Гидрофобизатор</t>
  </si>
  <si>
    <t>2109-140900-23412</t>
  </si>
  <si>
    <t>Бумажные полотенца</t>
  </si>
  <si>
    <t>ООО Атмосфера Чистоты</t>
  </si>
  <si>
    <t>27037/Н</t>
  </si>
  <si>
    <t>STIHL ЦАГ</t>
  </si>
  <si>
    <t>ООО Бакор</t>
  </si>
  <si>
    <t>Рем.комплект стрелы CAT329</t>
  </si>
  <si>
    <t>ООО НерПартс</t>
  </si>
  <si>
    <t>УТ-763</t>
  </si>
  <si>
    <t>Дымосос СПЭКО</t>
  </si>
  <si>
    <t>ООО СПЭКО</t>
  </si>
  <si>
    <t>Расходные материалы для ВО</t>
  </si>
  <si>
    <t>2109-140900-32892</t>
  </si>
  <si>
    <t>Технические двери одностворчатые</t>
  </si>
  <si>
    <t>ИП Примаков В Ю</t>
  </si>
  <si>
    <t>Площадка</t>
  </si>
  <si>
    <t>ИП Федоренко Р.А.</t>
  </si>
  <si>
    <t>Резиновое покрытие</t>
  </si>
  <si>
    <t>ООО "СТРОЙКОМСИБИРЬ"</t>
  </si>
  <si>
    <t>Крестовина/Сальники кардана Hyundai</t>
  </si>
  <si>
    <t>УТ-772</t>
  </si>
  <si>
    <t>Датчик давления Mersedes</t>
  </si>
  <si>
    <t>Нал</t>
  </si>
  <si>
    <t xml:space="preserve">За период с 01.10.2021 г. по 30.10.2021 г. произведен закуп ТМЦ:
</t>
  </si>
  <si>
    <t xml:space="preserve">Флаги 6шт </t>
  </si>
  <si>
    <t xml:space="preserve">ООО Флаг Сервис </t>
  </si>
  <si>
    <t>Фильтр гидравлики Cat/Сальник d275</t>
  </si>
  <si>
    <t>УТ-788</t>
  </si>
  <si>
    <t>Сейф</t>
  </si>
  <si>
    <t>ООО Акцент-С</t>
  </si>
  <si>
    <t>Наличники-1 НСК</t>
  </si>
  <si>
    <t>ООО КОТТЕДЖ</t>
  </si>
  <si>
    <t>ЦБ-481</t>
  </si>
  <si>
    <t>Изоляция трубы</t>
  </si>
  <si>
    <t>ООО Изол-Эксперт</t>
  </si>
  <si>
    <t>Материалы для внутренней отделки</t>
  </si>
  <si>
    <t>ООО Зебра</t>
  </si>
  <si>
    <t>Входная дверь</t>
  </si>
  <si>
    <t>ООО Жилстрой</t>
  </si>
  <si>
    <t>Резинки и направляющие Алютех</t>
  </si>
  <si>
    <t>ООО ВХОДНЫЕ СИСТЕМЫ</t>
  </si>
  <si>
    <t>Ремни узкоклиновые (Дробилка)</t>
  </si>
  <si>
    <t xml:space="preserve">ООО Кесл
</t>
  </si>
  <si>
    <t>15289.80</t>
  </si>
  <si>
    <t>ЗЧ TLC/Fortuner</t>
  </si>
  <si>
    <t>ИП Никулин Е.В</t>
  </si>
  <si>
    <t>Кафель ФОСТАЙЛ</t>
  </si>
  <si>
    <t>ООО Фостайл</t>
  </si>
  <si>
    <t>Ф1670</t>
  </si>
  <si>
    <t>Лобовое стекло CAT 330</t>
  </si>
  <si>
    <t>УТ-810</t>
  </si>
  <si>
    <t>Хомуты изоляции трубы</t>
  </si>
  <si>
    <t>ООО Фирма СибПак</t>
  </si>
  <si>
    <t xml:space="preserve">Коронки рыхлителя D275 - 6шт </t>
  </si>
  <si>
    <t>Ут-827</t>
  </si>
  <si>
    <t>Лента изовер</t>
  </si>
  <si>
    <t>Кафель Ткачук</t>
  </si>
  <si>
    <t>ИП Ткачук А.К</t>
  </si>
  <si>
    <t>Метал для ножей А-98</t>
  </si>
  <si>
    <t>ООО "НМК"</t>
  </si>
  <si>
    <t>Полок</t>
  </si>
  <si>
    <t>ООО Хамам</t>
  </si>
  <si>
    <t xml:space="preserve">Общестроительные материалы
</t>
  </si>
  <si>
    <t>ООО «Тепло-Тех</t>
  </si>
  <si>
    <t>ЗЧ Дверь Mercedes</t>
  </si>
  <si>
    <t>Скоба CAT 160H</t>
  </si>
  <si>
    <t>УТ-843</t>
  </si>
  <si>
    <t>Комплект шин CAT 426</t>
  </si>
  <si>
    <t>ООО ВостокСпецТрейд</t>
  </si>
  <si>
    <t>Пюпитр</t>
  </si>
  <si>
    <t>ООО Главный зал оборудования</t>
  </si>
  <si>
    <t>Г5890</t>
  </si>
  <si>
    <t>Коса проводки А-98М</t>
  </si>
  <si>
    <t>ООО ЮУМК</t>
  </si>
  <si>
    <t>Сита Метсо 5мм комплект (2шт)</t>
  </si>
  <si>
    <t xml:space="preserve">Диски по асфальту </t>
  </si>
  <si>
    <t>ООО Все инструменты.ру</t>
  </si>
  <si>
    <t>2110-140900-26976</t>
  </si>
  <si>
    <t>Корпус фильтра КДМ</t>
  </si>
  <si>
    <t>Б  99075/1</t>
  </si>
  <si>
    <t xml:space="preserve">Сита SBM 5/10мм </t>
  </si>
  <si>
    <t xml:space="preserve">Отливы - 4 ИТП/Ворота </t>
  </si>
  <si>
    <t>ООО АРТПРОФИ</t>
  </si>
  <si>
    <t>Отливы - 5 Козырек</t>
  </si>
  <si>
    <t>Сита SBM ячейка 40мм</t>
  </si>
  <si>
    <t xml:space="preserve">МКП ГАЗЕЛЬ </t>
  </si>
  <si>
    <t>Б 100878/1</t>
  </si>
  <si>
    <t>Флаг шток / Флаги</t>
  </si>
  <si>
    <t>ООО Флаг сервис</t>
  </si>
  <si>
    <t>Форсунки Nissan Atlas 4шт</t>
  </si>
  <si>
    <t>ООО "ВЛАДДИЗЕЛЬПАРТ"</t>
  </si>
  <si>
    <t xml:space="preserve">Рулон изоспан </t>
  </si>
  <si>
    <t>ООО Колорлон</t>
  </si>
  <si>
    <t>чек</t>
  </si>
  <si>
    <t xml:space="preserve">За период с 01.11.2021 г. по 30.11.2021 г. произведен закуп ТМЦ:
</t>
  </si>
  <si>
    <t>№</t>
  </si>
  <si>
    <t xml:space="preserve">Стелажи </t>
  </si>
  <si>
    <t>ООО "Ивакон-Строй"</t>
  </si>
  <si>
    <t>Нож Bomford ( комплект )</t>
  </si>
  <si>
    <t>ООО “Арктик Машин-Р”</t>
  </si>
  <si>
    <t>Наливной пол</t>
  </si>
  <si>
    <t>ООО СИБИРЬПРОМПОЛ</t>
  </si>
  <si>
    <t>Защита бампера Fortuner</t>
  </si>
  <si>
    <t>ООО «АЛЬЯНС ГРУПП»</t>
  </si>
  <si>
    <t>Фильтра Fortuner</t>
  </si>
  <si>
    <t>ООО АвтоМир</t>
  </si>
  <si>
    <t>Температурный датчик ПЖД16</t>
  </si>
  <si>
    <t>Импульсная стрелка КДМ</t>
  </si>
  <si>
    <t>ООО ИО Технолоджи</t>
  </si>
  <si>
    <t>Наличники 2м</t>
  </si>
  <si>
    <t>ООО Коттедж</t>
  </si>
  <si>
    <t>ЦБ-522</t>
  </si>
  <si>
    <t xml:space="preserve">Мебель на террасу </t>
  </si>
  <si>
    <t>ИП Лыкова М.Г</t>
  </si>
  <si>
    <t>1893150/1</t>
  </si>
  <si>
    <t>Шины МТЗ (Перед)</t>
  </si>
  <si>
    <t xml:space="preserve">Замена освещения </t>
  </si>
  <si>
    <t>ООО АСБ</t>
  </si>
  <si>
    <t xml:space="preserve">Клапан редукционный </t>
  </si>
  <si>
    <t>ООО "СПЕЦМАШ-СНГ"</t>
  </si>
  <si>
    <t>Передний вал со звездами ЭД405</t>
  </si>
  <si>
    <t>ООО 3КДМ</t>
  </si>
  <si>
    <t>Тормозной цилиндр hyundai 940</t>
  </si>
  <si>
    <t>УТ-900</t>
  </si>
  <si>
    <t>Панель/кнопки TLC 105</t>
  </si>
  <si>
    <t>Коронки Hyundai 940 перед/зад</t>
  </si>
  <si>
    <t>УТ-906</t>
  </si>
  <si>
    <t>Камин баня</t>
  </si>
  <si>
    <t>Маски знаков по ведомости</t>
  </si>
  <si>
    <t>Пластина на дробилку Metso</t>
  </si>
  <si>
    <t>ООО СибМашПолимер</t>
  </si>
  <si>
    <t>Евровагонка ЦАГ</t>
  </si>
  <si>
    <t>ЦБ533</t>
  </si>
  <si>
    <t>Отливы ИТП Гараж</t>
  </si>
  <si>
    <t>ООО АртПрофи</t>
  </si>
  <si>
    <t>Сегменты D275</t>
  </si>
  <si>
    <t>УТ-920</t>
  </si>
  <si>
    <t>Плиты LOGICPIR ЦАГ</t>
  </si>
  <si>
    <t>ООО ТехноНиколь</t>
  </si>
  <si>
    <t>NS0011-0018028</t>
  </si>
  <si>
    <t>ЗЧ ГРМ Fortuner</t>
  </si>
  <si>
    <t>Направляющие ворот Алютех</t>
  </si>
  <si>
    <t>ООО Входные Системы</t>
  </si>
  <si>
    <t>Маска знака скользкая дорога 4шт</t>
  </si>
  <si>
    <t>Плиты LOGICPIR -2 ЦАГ</t>
  </si>
  <si>
    <t>Коронки CAT 330 New 2 коплекта</t>
  </si>
  <si>
    <t>УТ-954</t>
  </si>
  <si>
    <t>Накидки капота МТЗ</t>
  </si>
  <si>
    <t>Б 108446/1</t>
  </si>
  <si>
    <t xml:space="preserve">Лобовое стекло МТЗ </t>
  </si>
  <si>
    <t>ООО ОМЕГА-Авто</t>
  </si>
  <si>
    <t>ЗЧ ДВС КДМ Гадунов</t>
  </si>
  <si>
    <t>Б 108043/1</t>
  </si>
  <si>
    <t>Шкафы Икея 4 шт + Стелаж</t>
  </si>
  <si>
    <t>Сита струнные Metso - 2шт</t>
  </si>
  <si>
    <t>Утеплитель двигателя TLC 200</t>
  </si>
  <si>
    <t>Сальники коробки Hyundai 940</t>
  </si>
  <si>
    <t>УТ-971</t>
  </si>
  <si>
    <t>Лобовое стекло CAT 160H</t>
  </si>
  <si>
    <t>ООО Восточная Техника</t>
  </si>
  <si>
    <t>CH21-066619</t>
  </si>
  <si>
    <t xml:space="preserve">Брызговики,блок предохранителей TLC 105 </t>
  </si>
  <si>
    <t xml:space="preserve">Приточная вентиляция </t>
  </si>
  <si>
    <t>ООО Арсенал</t>
  </si>
  <si>
    <t>Освещение ЦАГ</t>
  </si>
  <si>
    <t>030/2021-0109960</t>
  </si>
  <si>
    <t>Техника для кухни</t>
  </si>
  <si>
    <t>ООО МВМ</t>
  </si>
  <si>
    <t>61347500439/S280</t>
  </si>
  <si>
    <t>Брусок 30х40</t>
  </si>
  <si>
    <t>ЦБ-560</t>
  </si>
  <si>
    <t>Звукоизоляция 50мм/ЦСП 12мм</t>
  </si>
  <si>
    <t>ООО "ТехноНИКОЛЬ"</t>
  </si>
  <si>
    <t>NS0011-0018716</t>
  </si>
  <si>
    <t>Отливы 6 - камень</t>
  </si>
  <si>
    <t>Опоры отвала</t>
  </si>
  <si>
    <t>Виброизоляция SD 400</t>
  </si>
  <si>
    <t>ООО "Теплокомфорт"</t>
  </si>
  <si>
    <t>Ленты/Ремни SBM</t>
  </si>
  <si>
    <t>ООО КЕСЛ</t>
  </si>
  <si>
    <t>N-14746</t>
  </si>
  <si>
    <t>Диск пескоразбрасывателя</t>
  </si>
  <si>
    <t>ООО Спецмаш-СНГ</t>
  </si>
  <si>
    <t>Фильтра Toyota</t>
  </si>
  <si>
    <t>ООО «АВТОМИР-54»</t>
  </si>
  <si>
    <t>ЦСП 20мм</t>
  </si>
  <si>
    <t>ИП "Вопилова Анна Андреевна"</t>
  </si>
  <si>
    <t>УТ-436</t>
  </si>
  <si>
    <t xml:space="preserve">За период с 01.12.2021 г. по 31.12.2021 г. произведен закуп ТМЦ:
</t>
  </si>
  <si>
    <t>Стол мрамор</t>
  </si>
  <si>
    <t xml:space="preserve">ООО Интерьеркоплект </t>
  </si>
  <si>
    <t>ИК211202-01</t>
  </si>
  <si>
    <t>Обливное ведро</t>
  </si>
  <si>
    <t xml:space="preserve">Стулья </t>
  </si>
  <si>
    <t>ИК211202-03</t>
  </si>
  <si>
    <t>Лист метала 16мм на ножи</t>
  </si>
  <si>
    <t>ООО НМК</t>
  </si>
  <si>
    <t>ЗЧ А-98</t>
  </si>
  <si>
    <t>ООО ТД ЮУМК</t>
  </si>
  <si>
    <t xml:space="preserve">Двигатель Нива 212140 </t>
  </si>
  <si>
    <t>АО АвтоАльянс</t>
  </si>
  <si>
    <t>Б114448/1</t>
  </si>
  <si>
    <t>Вал КДМ/Диск пескоразбрасывателя</t>
  </si>
  <si>
    <t>ООО ЗКДМ</t>
  </si>
  <si>
    <t>Светодиодный модуль</t>
  </si>
  <si>
    <t>ООО "ИО Технолоджи"</t>
  </si>
  <si>
    <t>ЗЧ Мерседес</t>
  </si>
  <si>
    <t>ЗЧ SPECO 10%</t>
  </si>
  <si>
    <t>ООО СПЕКО</t>
  </si>
  <si>
    <t>ЗЧ SBM 10%</t>
  </si>
  <si>
    <t>Знак ЛЭП</t>
  </si>
  <si>
    <t>Картридж чёрный</t>
  </si>
  <si>
    <t>Ролики SBM</t>
  </si>
  <si>
    <t>ООО ПромКомплект</t>
  </si>
  <si>
    <t>Н-1007</t>
  </si>
  <si>
    <t>Звезды/Цепи</t>
  </si>
  <si>
    <t>Н-1013</t>
  </si>
  <si>
    <t>Фара/кронштейн SEM 655D</t>
  </si>
  <si>
    <t>ООО "СК-Комплект"</t>
  </si>
  <si>
    <t xml:space="preserve">Водосточка </t>
  </si>
  <si>
    <t>ООО "Торговый Дом "ФАКТУМ"</t>
  </si>
  <si>
    <t>Мобильный телефон</t>
  </si>
  <si>
    <t>ООО Сеть Связной</t>
  </si>
  <si>
    <t>Ленты АБЗ Speco</t>
  </si>
  <si>
    <t>N-15944</t>
  </si>
  <si>
    <t>Стекло лобовое газель</t>
  </si>
  <si>
    <t>Б 120022/1</t>
  </si>
  <si>
    <t>Мотор печки основной TLC 105</t>
  </si>
  <si>
    <t>ИП Никулин Е.В.</t>
  </si>
  <si>
    <t>Генератор TLC 105</t>
  </si>
  <si>
    <t>ООО "АТМ"</t>
  </si>
  <si>
    <t>Двери стеклянные</t>
  </si>
  <si>
    <t xml:space="preserve">Люк Мерседес </t>
  </si>
  <si>
    <t>ООО "МЦ-Иркутск"</t>
  </si>
  <si>
    <t>МЦ00034759</t>
  </si>
  <si>
    <t>Ролики АБЗ Speco</t>
  </si>
  <si>
    <t>Н-1015</t>
  </si>
  <si>
    <t>ЗЧ TLC 200 Антена</t>
  </si>
  <si>
    <t>873-104-5-30946</t>
  </si>
  <si>
    <t xml:space="preserve">ЗЧ TLC 200 Накладка рейлинга </t>
  </si>
  <si>
    <t xml:space="preserve">Плитка ПВХ 15шт </t>
  </si>
  <si>
    <t>ООО "Сибирьпромпол"</t>
  </si>
  <si>
    <t>Пробковое покрытие</t>
  </si>
  <si>
    <t>ИП Мальцев Игорь Витальевич</t>
  </si>
  <si>
    <t>ЗЧ Fortuner</t>
  </si>
  <si>
    <t>ООО АвтоМир-54</t>
  </si>
  <si>
    <t>873-104-5-31068</t>
  </si>
  <si>
    <t>Картриджи</t>
  </si>
  <si>
    <t>ООО Открытые Технологии</t>
  </si>
  <si>
    <t>PURAFOAM</t>
  </si>
  <si>
    <t>ООО Сибирская Усадьба</t>
  </si>
  <si>
    <t xml:space="preserve">УТ-672 </t>
  </si>
  <si>
    <t>Ремкомплект цилиндра подъема Чанлин</t>
  </si>
  <si>
    <t>ООО "ТЕХНОАЗИЯ"</t>
  </si>
  <si>
    <t xml:space="preserve">UT-1914 </t>
  </si>
  <si>
    <t>ЗЧ Fortuner 2</t>
  </si>
  <si>
    <t>Стол (река)</t>
  </si>
  <si>
    <t>Зч Metso №1</t>
  </si>
  <si>
    <t>Зч Metso №2</t>
  </si>
  <si>
    <t>СВЧ</t>
  </si>
  <si>
    <t>А069/732377</t>
  </si>
  <si>
    <t xml:space="preserve">За период с 01.01.2022 г. по 31.01.2022 г. произведен закуп ТМЦ:
</t>
  </si>
  <si>
    <t>Зеркало в прихожую</t>
  </si>
  <si>
    <t>ИП Штоль Е.Я.</t>
  </si>
  <si>
    <t>Лента Delta 6шт</t>
  </si>
  <si>
    <t>ООО Альфа Трейд</t>
  </si>
  <si>
    <t>Кровать</t>
  </si>
  <si>
    <t>ИП Назаралиев Б.Н.</t>
  </si>
  <si>
    <t>Форсунки ЭД 405 65115</t>
  </si>
  <si>
    <t>АО Альянс-Авто</t>
  </si>
  <si>
    <t>376/1</t>
  </si>
  <si>
    <t>Кресло (Груша)</t>
  </si>
  <si>
    <t>ООО ТСД</t>
  </si>
  <si>
    <t>Знак 1.34.1, 2.1, 2.4</t>
  </si>
  <si>
    <t>Маховик КАМАЗ 65116</t>
  </si>
  <si>
    <t>1023/1</t>
  </si>
  <si>
    <t xml:space="preserve">Матрас </t>
  </si>
  <si>
    <t>ООО "Торговый Дом "Аскона"</t>
  </si>
  <si>
    <t>ГалН/0162</t>
  </si>
  <si>
    <t>Натяжитель ГРМ Fortuner</t>
  </si>
  <si>
    <t>Печь</t>
  </si>
  <si>
    <t>Керамогранит (РВ)</t>
  </si>
  <si>
    <t>ИП Ткачук А.К.</t>
  </si>
  <si>
    <t>Шкаф,тумбы,полки,декор</t>
  </si>
  <si>
    <t xml:space="preserve">Материалы отделки </t>
  </si>
  <si>
    <t>Самовар</t>
  </si>
  <si>
    <t>Шкаф,галошница,табурет, фото рамки</t>
  </si>
  <si>
    <t xml:space="preserve">Пылесос Кёрхер </t>
  </si>
  <si>
    <t>030 000-477380/0744</t>
  </si>
  <si>
    <t>Фартуки Metso</t>
  </si>
  <si>
    <t xml:space="preserve">Пескоструйных аппарат </t>
  </si>
  <si>
    <t>ООО Айрон Тех</t>
  </si>
  <si>
    <t>Резиновая пластина Metso</t>
  </si>
  <si>
    <t>ЗЧ RX350 (Колодки)</t>
  </si>
  <si>
    <t>ООО АвтоМир 54</t>
  </si>
  <si>
    <t>873-104-5-31969</t>
  </si>
  <si>
    <t>Лента 500,650</t>
  </si>
  <si>
    <t>N-452</t>
  </si>
  <si>
    <t>Мебель баня 2</t>
  </si>
  <si>
    <t>Система дверей</t>
  </si>
  <si>
    <t>012 000-477380/5059</t>
  </si>
  <si>
    <t>Краска Komatsu</t>
  </si>
  <si>
    <t>ИП Козырис В.А.</t>
  </si>
  <si>
    <t>Мебель баня 3</t>
  </si>
  <si>
    <t xml:space="preserve">Цинлон воздушного фильтра </t>
  </si>
  <si>
    <t>ООО НеоПарст</t>
  </si>
  <si>
    <t>УТ-49</t>
  </si>
  <si>
    <t>Пальца капота</t>
  </si>
  <si>
    <t>УТ-46</t>
  </si>
  <si>
    <t>Лист метала 20мм</t>
  </si>
  <si>
    <t>ЗЧ Нива 1 (Капот,крыло)</t>
  </si>
  <si>
    <t xml:space="preserve">Кресло (детская) </t>
  </si>
  <si>
    <t>ООО ИНМАЙРУМ</t>
  </si>
  <si>
    <t>ЗЧ TLC 105</t>
  </si>
  <si>
    <t>Насос DARK 52 КДМ</t>
  </si>
  <si>
    <t>ООО Импорткама</t>
  </si>
  <si>
    <t xml:space="preserve">ЗЧ Komatsu №1 по ведомости </t>
  </si>
  <si>
    <t>УТ-76</t>
  </si>
  <si>
    <t xml:space="preserve">ЗЧ Komatsu №2 по ведомости </t>
  </si>
  <si>
    <t>ООО  "Сфера"</t>
  </si>
  <si>
    <t>СФ Х_00731</t>
  </si>
  <si>
    <t>Подшипники F212-2шт F313-4шт</t>
  </si>
  <si>
    <t>ООО "НСК Подшипник Сервис"</t>
  </si>
  <si>
    <t>ЗЧ Komatsu №3 Катки опорные</t>
  </si>
  <si>
    <t>ООО Тандем Трейдинг</t>
  </si>
  <si>
    <t>Б_00379</t>
  </si>
  <si>
    <t>Мебель Детская / постельное бельё №1</t>
  </si>
  <si>
    <t xml:space="preserve">Песок для пескоструйного аппарата </t>
  </si>
  <si>
    <t>ООО Альянс</t>
  </si>
  <si>
    <t xml:space="preserve">За период с 01.02.2022 г. по 31.02.2022 г. произведен закуп ТМЦ:
</t>
  </si>
  <si>
    <t>Отливы гараж/итп</t>
  </si>
  <si>
    <t xml:space="preserve">ЗЧ Lynx </t>
  </si>
  <si>
    <t>ООО СпортАктив</t>
  </si>
  <si>
    <t>СА38</t>
  </si>
  <si>
    <t>Пано Onix</t>
  </si>
  <si>
    <t>ООО Барлет</t>
  </si>
  <si>
    <t>ЗЧ Нива 2 ( Бампера, пороги, панель)</t>
  </si>
  <si>
    <t>Лента бандажная, скрепы</t>
  </si>
  <si>
    <t>Патрубок радиатора D275</t>
  </si>
  <si>
    <t>УТ-136</t>
  </si>
  <si>
    <t>Песок для пескоструйного аппарата №2</t>
  </si>
  <si>
    <t>ООО Мастер Класс Сервис</t>
  </si>
  <si>
    <t>УМ-155</t>
  </si>
  <si>
    <t>Песок для пескоструйного аппарата №3</t>
  </si>
  <si>
    <t>УМ-157</t>
  </si>
  <si>
    <t>Цепи 2ПР 25.4 (2.5м - 2 шт)</t>
  </si>
  <si>
    <t>Н-0159</t>
  </si>
  <si>
    <t>Брусок 30*40*3000мм</t>
  </si>
  <si>
    <t>ЦБ-46</t>
  </si>
  <si>
    <t>Мебель Детская №2</t>
  </si>
  <si>
    <t>Кресло (кабинет)</t>
  </si>
  <si>
    <t>ООО Все Инструменты.ру</t>
  </si>
  <si>
    <t>Замена стеклопакета</t>
  </si>
  <si>
    <t>ИП Попов А.Н.</t>
  </si>
  <si>
    <t>Пальцы,втулки SEM 636</t>
  </si>
  <si>
    <t>ООО Газимпорт</t>
  </si>
  <si>
    <t xml:space="preserve">Печать СР </t>
  </si>
  <si>
    <t>ООО Компания МИР</t>
  </si>
  <si>
    <t xml:space="preserve">Первичные средства пожаротушения </t>
  </si>
  <si>
    <t xml:space="preserve">ООО Центр ПИРАНТ </t>
  </si>
  <si>
    <t>РК Тормозного суппорта (зад) TLC 105</t>
  </si>
  <si>
    <t>ЗЧ Fortuner (Шайба форсунки,прокладки)</t>
  </si>
  <si>
    <t>Детали отопления. Внутрипольный конвектор</t>
  </si>
  <si>
    <t>ООО АкваКомфортСерви</t>
  </si>
  <si>
    <t>Наличник окон (клееный) внутренние работы</t>
  </si>
  <si>
    <t>ЦБ-53</t>
  </si>
  <si>
    <t>ЗЧ Komatsu №4 Телеги</t>
  </si>
  <si>
    <t>УТ-185</t>
  </si>
  <si>
    <t xml:space="preserve">ЗЧ Компрессор </t>
  </si>
  <si>
    <t>ООО Рустех</t>
  </si>
  <si>
    <t xml:space="preserve">Печать СР командировочная </t>
  </si>
  <si>
    <t>Ремкомплект ГЦ CAT 329</t>
  </si>
  <si>
    <t>УТ-199</t>
  </si>
  <si>
    <t xml:space="preserve">LOGICPIR </t>
  </si>
  <si>
    <t>NS0011-0001595</t>
  </si>
  <si>
    <t>Аудио,Колотый камень</t>
  </si>
  <si>
    <t>Кафельная плитка</t>
  </si>
  <si>
    <t>ЗЧ TLC 105 колодки,сальники</t>
  </si>
  <si>
    <t>ЗЧ Fortuner Прокладка,держатель форсунки</t>
  </si>
  <si>
    <t>Комплект Hino Модуль</t>
  </si>
  <si>
    <t>ООО ИО Тихнолоджи</t>
  </si>
  <si>
    <t xml:space="preserve">Комплект Hino Стрелка/Рабочий </t>
  </si>
  <si>
    <t>Ремни клиновые 12шт</t>
  </si>
  <si>
    <t>N-1761</t>
  </si>
  <si>
    <t>Клещи-захваты для переноски БРК 2шт</t>
  </si>
  <si>
    <t>2203-140900-04707</t>
  </si>
  <si>
    <t xml:space="preserve">За период с 01.03.2022 г. по 31.03.2022 г. произведен закуп ТМЦ:
</t>
  </si>
  <si>
    <t>Знаки первая очередь 387-415км</t>
  </si>
  <si>
    <t>Евравагонка ЦАГ</t>
  </si>
  <si>
    <t>ЦБ-72/77</t>
  </si>
  <si>
    <t>Спецодежда ТехноАвиа</t>
  </si>
  <si>
    <t>ООО ТехноАвиа-Сибирь</t>
  </si>
  <si>
    <t>УТ-1901</t>
  </si>
  <si>
    <t>Мастика Брит Т-65, для заливки трещин</t>
  </si>
  <si>
    <t>ООО "ТЕХДОРСТРОЙ"</t>
  </si>
  <si>
    <t>Сигнальный столбик С3, Конус дорожный</t>
  </si>
  <si>
    <t>ООО "ПКФ ТОПАЗ"</t>
  </si>
  <si>
    <t>Холодный асфальт (фракция 5-10мм)</t>
  </si>
  <si>
    <t>ООО «НОВЫЕ ТЕХНОЛОГИИ АСФАЛЬТА»</t>
  </si>
  <si>
    <t>Перфоратор большой на Лапри Makita</t>
  </si>
  <si>
    <t>2203-140900-14349</t>
  </si>
  <si>
    <t>Спецодежда Восток Сервис Амур</t>
  </si>
  <si>
    <t>ООО "ВОСТОК-СЕРВИС-АМУР"</t>
  </si>
  <si>
    <t>ХО941</t>
  </si>
  <si>
    <t>Пластиковые ролики по ведомости Metso</t>
  </si>
  <si>
    <t>СБ/СД/Консоли</t>
  </si>
  <si>
    <t>АО "Алексинстройконструкция"</t>
  </si>
  <si>
    <t>Краска Komatsu №2 желтая 6л</t>
  </si>
  <si>
    <t>Ремонт косилок STIHL</t>
  </si>
  <si>
    <t>ИП Глуздова Е.А.</t>
  </si>
  <si>
    <t>Проломной бур 80 х 900/1000 мм</t>
  </si>
  <si>
    <t>ЗАО "ЧИП и ДИП"</t>
  </si>
  <si>
    <t>ПЛОТНОМЕР АСФАЛЬТОБЕТОНА ПАБ-1-1</t>
  </si>
  <si>
    <t>ООО "ПРИБОРЫ 24"</t>
  </si>
  <si>
    <t>Дегидрол</t>
  </si>
  <si>
    <t>ООО Полимеран</t>
  </si>
  <si>
    <t>Композиция алпол</t>
  </si>
  <si>
    <t>ООО Много Металла</t>
  </si>
  <si>
    <t>Пропитка гидрофобизируюшая для бетона</t>
  </si>
  <si>
    <t>ООО "ЭЛКОН РИТЕЙЛ"</t>
  </si>
  <si>
    <t>Виброплита аналог</t>
  </si>
  <si>
    <t>2203-140900-32007</t>
  </si>
  <si>
    <t>Краска (Белая ВТП,ВР, Чёрная)</t>
  </si>
  <si>
    <t>ООО Руфа</t>
  </si>
  <si>
    <t>2022/364</t>
  </si>
  <si>
    <t>Наклейки Komatsu D275</t>
  </si>
  <si>
    <t>ИП Лобакин А.В.</t>
  </si>
  <si>
    <t>Фильтра TLC200</t>
  </si>
  <si>
    <t>Картриджи на плотер</t>
  </si>
  <si>
    <t>Светодиодная лента  IP65</t>
  </si>
  <si>
    <t>ООО "СУМРАКОФФ"</t>
  </si>
  <si>
    <t>Светодиодная лента + профиль</t>
  </si>
  <si>
    <t>ЗАО "Электрокомплектсервис"</t>
  </si>
  <si>
    <t>ЭЛ3-000020701</t>
  </si>
  <si>
    <t>Наличник для окон 25 м.п.</t>
  </si>
  <si>
    <t>ЦБ-95</t>
  </si>
  <si>
    <t>Знаки ФАД 360</t>
  </si>
  <si>
    <t>МГТ</t>
  </si>
  <si>
    <t>Знаки 2 очередь</t>
  </si>
  <si>
    <t>LOGICPIR</t>
  </si>
  <si>
    <t>NS0011-0002739</t>
  </si>
  <si>
    <t>Светильники прожекторные (65В)</t>
  </si>
  <si>
    <t>ЭЛ3-000022081</t>
  </si>
  <si>
    <t xml:space="preserve">За период с 01.04.2022 г. по 30.04.2022 г. произведен закуп ТМЦ:
</t>
  </si>
  <si>
    <t>БО по ведомости (Примыкание)</t>
  </si>
  <si>
    <t>АО АСК</t>
  </si>
  <si>
    <t>Бентомат АС 50 + Бентонитовые гранулы</t>
  </si>
  <si>
    <t>ООО Завод геосинтетических материалов</t>
  </si>
  <si>
    <t>Знак 1.17 4шт + ОМ-3.5 - 4шт</t>
  </si>
  <si>
    <t>Водоналивные барьеры, герлянда и пр.</t>
  </si>
  <si>
    <t>ООО "ПЛАСТО СПБ"</t>
  </si>
  <si>
    <t xml:space="preserve">Знаки ФАД 360 Индивидуальные </t>
  </si>
  <si>
    <t>Столбики сигнальные пластиковых С3</t>
  </si>
  <si>
    <t xml:space="preserve">Георешетка/Геотекстиль </t>
  </si>
  <si>
    <t>Труба</t>
  </si>
  <si>
    <t>ООО КТС-Строй</t>
  </si>
  <si>
    <t>Ревизия трубы</t>
  </si>
  <si>
    <t>Флаг СРС ( Макет)</t>
  </si>
  <si>
    <t>Битум фасованый БНД 100/130 - 60 т</t>
  </si>
  <si>
    <t>ООО Синергия Ойл Групп</t>
  </si>
  <si>
    <t>Битум ПБВ 130 - 20 т</t>
  </si>
  <si>
    <t xml:space="preserve">Лента светоотражающая </t>
  </si>
  <si>
    <t>Стол столешница</t>
  </si>
  <si>
    <t>Плиты древесно-волокнистые из древесины (ДВП)</t>
  </si>
  <si>
    <t xml:space="preserve">Сумма вознаграждения согласно п. 4.2. агентского договора № 1-21 от «28» мая 2021 г. за апрель 2022г. </t>
  </si>
  <si>
    <t>Отчет агента - УУ</t>
  </si>
  <si>
    <t xml:space="preserve">За период с 01.05.2022 г. по 31.05.2022 г. произведен закуп ТМЦ:
</t>
  </si>
  <si>
    <t xml:space="preserve">Форсунки CAT 329DL 2шт </t>
  </si>
  <si>
    <t>Кальций хлористый 40т, Галит 20т</t>
  </si>
  <si>
    <t>ООО СОНИКС</t>
  </si>
  <si>
    <t>ЗЧ Hyundai h940</t>
  </si>
  <si>
    <t>УТ-507</t>
  </si>
  <si>
    <t>Замена лент 650</t>
  </si>
  <si>
    <t>N-6084</t>
  </si>
  <si>
    <t>СИТА 5мм - 4шт + 16мм - 4шт</t>
  </si>
  <si>
    <t>Пороги Fortuner</t>
  </si>
  <si>
    <t>ООО Альянс Групп</t>
  </si>
  <si>
    <t>Защита двигателя L200</t>
  </si>
  <si>
    <t>Фильтра Мерседес</t>
  </si>
  <si>
    <t>ИП Юдин О.В.</t>
  </si>
  <si>
    <t xml:space="preserve">Трансформатор 24в 200ват+Лента светодиодная </t>
  </si>
  <si>
    <t xml:space="preserve">ЗЧ Hyundai h940 соленоиды и др. </t>
  </si>
  <si>
    <t>УТ-534</t>
  </si>
  <si>
    <t xml:space="preserve">Щетки МТЗ/Камаз </t>
  </si>
  <si>
    <t>ООО "ВЕРСТА"</t>
  </si>
  <si>
    <t>Детали ТО CAT 10</t>
  </si>
  <si>
    <t>СН-22-030758</t>
  </si>
  <si>
    <t>Ножи CAT 10</t>
  </si>
  <si>
    <t>ООО СФЕРА</t>
  </si>
  <si>
    <t>СФХ_05211</t>
  </si>
  <si>
    <t>Коронки рыхлителя CAT 10</t>
  </si>
  <si>
    <t>УТ-546</t>
  </si>
  <si>
    <t>Масло CAT 10 - 1 бочка</t>
  </si>
  <si>
    <t>ООО АмурМашинери</t>
  </si>
  <si>
    <t>Масло CAT 10 - 2 бочка</t>
  </si>
  <si>
    <t>Вакцина Клещ</t>
  </si>
  <si>
    <t xml:space="preserve">Резина Sem 655 </t>
  </si>
  <si>
    <t>Лента боковая</t>
  </si>
  <si>
    <t>N-7227</t>
  </si>
  <si>
    <t xml:space="preserve">Бон сорбирующий </t>
  </si>
  <si>
    <t>ООО НПФ Экосорб</t>
  </si>
  <si>
    <t>Стеклоткань</t>
  </si>
  <si>
    <t>ООО СЗИМ</t>
  </si>
  <si>
    <t>Бондаж+замки</t>
  </si>
  <si>
    <t>ООО СибПак</t>
  </si>
  <si>
    <t xml:space="preserve">Гербицид </t>
  </si>
  <si>
    <t>АО Фирма "Август"</t>
  </si>
  <si>
    <t>04289-2022/1</t>
  </si>
  <si>
    <t>Бампер Lynx</t>
  </si>
  <si>
    <t>ООО Тайга</t>
  </si>
  <si>
    <t>Геодезическое оборудование</t>
  </si>
  <si>
    <t>ООО ЕФТ ГРУПП</t>
  </si>
  <si>
    <t xml:space="preserve">Сумма вознаграждения согласно п. 4.2. агентского договора № 1-21 от «28» мая 2021 г. за май 2022г. </t>
  </si>
  <si>
    <t xml:space="preserve">За период с 01.06.2022 г. по 30.06.2022 г. произведен закуп ТМЦ:
</t>
  </si>
  <si>
    <t>Коронки рыхлителя усиленные</t>
  </si>
  <si>
    <t>ООО Сфера</t>
  </si>
  <si>
    <t>СФ Х_06598</t>
  </si>
  <si>
    <t>Гидропривод + фильтр чаньлинь 956х</t>
  </si>
  <si>
    <t>ООО "БОСТ"</t>
  </si>
  <si>
    <t>ЦБ-359</t>
  </si>
  <si>
    <t>Отливы</t>
  </si>
  <si>
    <t>Георешетка синтетическая перфорированная</t>
  </si>
  <si>
    <t>ООО ТД Меапласт урал</t>
  </si>
  <si>
    <t>Лента светоотражающая на АМ</t>
  </si>
  <si>
    <t xml:space="preserve">Квадрокоптер </t>
  </si>
  <si>
    <t>ООО "ДНС Ритейл"</t>
  </si>
  <si>
    <t>Б-00297958</t>
  </si>
  <si>
    <t>Ножи Cat 160 на средний отвал</t>
  </si>
  <si>
    <t>СФ Х_05667</t>
  </si>
  <si>
    <t>Резина+камеры CAT 160</t>
  </si>
  <si>
    <t>Маска знака 6.10.1 (Беркакит,Алдан..)</t>
  </si>
  <si>
    <t>Геотекстиль</t>
  </si>
  <si>
    <t>Масло гидравлическое CAT 330</t>
  </si>
  <si>
    <t>СН22-035350</t>
  </si>
  <si>
    <t>Лента АБЗ 26600х500х10</t>
  </si>
  <si>
    <t>N-7666</t>
  </si>
  <si>
    <t>Кардан погрузчкик чаньлинь</t>
  </si>
  <si>
    <t>ЦБ-357</t>
  </si>
  <si>
    <t>Топливо дизель 8м3 Тында</t>
  </si>
  <si>
    <t>ООО ТНК</t>
  </si>
  <si>
    <t>Труба D530</t>
  </si>
  <si>
    <t>ООО СТРОЙТОРГСЕРВИС</t>
  </si>
  <si>
    <t>Фильтра воздушные CAT 10</t>
  </si>
  <si>
    <t>УТ-629</t>
  </si>
  <si>
    <t>Мотор гидравлический</t>
  </si>
  <si>
    <t>ООО Гидроснаб</t>
  </si>
  <si>
    <t>Планка поворотного круга cat 160H</t>
  </si>
  <si>
    <t>ООО СК-Комплекс</t>
  </si>
  <si>
    <t>Гидромотор SEM каток</t>
  </si>
  <si>
    <t>CH22­037800</t>
  </si>
  <si>
    <t>НСПС 630/530</t>
  </si>
  <si>
    <t>ООО "КОМПАНИЯ "ПРОМБАЗА"</t>
  </si>
  <si>
    <t>№1577</t>
  </si>
  <si>
    <t xml:space="preserve">Сумма вознаграждения согласно п. 4.2. агентского договора № 1-21 от «28» мая 2021 г. за Июнь 2022г. </t>
  </si>
  <si>
    <t xml:space="preserve">За период с 01.07.2022 г. по 31.07.2022 г. произведен закуп ТМЦ:
</t>
  </si>
  <si>
    <t>Малые архитектурные формы КСИЛ</t>
  </si>
  <si>
    <t>АО КСИЛ</t>
  </si>
  <si>
    <t>С-ХА-22-00052</t>
  </si>
  <si>
    <t>Арматура на анкера</t>
  </si>
  <si>
    <t>ООО АмурСталь</t>
  </si>
  <si>
    <t>Била+крепление</t>
  </si>
  <si>
    <t>ИП Степаненко А.В</t>
  </si>
  <si>
    <t>Наличник, нащельник, евровагонка</t>
  </si>
  <si>
    <t>ЦБ-294</t>
  </si>
  <si>
    <t>Краска</t>
  </si>
  <si>
    <t>ООО "Отдел Снабжения"</t>
  </si>
  <si>
    <t>Труба PP</t>
  </si>
  <si>
    <t>ООО "Теплоснаб"</t>
  </si>
  <si>
    <t>Детали ТО Mersedes Sprinter</t>
  </si>
  <si>
    <t>AА000145</t>
  </si>
  <si>
    <t>Подшипники 3630 АБЗ</t>
  </si>
  <si>
    <t>Катки Cat 329</t>
  </si>
  <si>
    <t>СФ Х_07233</t>
  </si>
  <si>
    <t>Знак+ маска 7.12</t>
  </si>
  <si>
    <t>Электроинструмент Makita</t>
  </si>
  <si>
    <t>2207-140900-58767</t>
  </si>
  <si>
    <t xml:space="preserve">Резина АМ </t>
  </si>
  <si>
    <t xml:space="preserve">Сумма вознаграждения согласно п. 4.2. агентского договора № 1-21 от «28» мая 2021 г. за Июль 2022г. </t>
  </si>
  <si>
    <t xml:space="preserve">За период с 01.08.2022 г. по 31.08.2022 г. произведен закуп ТМЦ:
</t>
  </si>
  <si>
    <t>Нашивки каскетка</t>
  </si>
  <si>
    <t>ООО Стан Регион</t>
  </si>
  <si>
    <t>Масло CAT 10</t>
  </si>
  <si>
    <t>ООО Амур Машинери энд Сервисес</t>
  </si>
  <si>
    <t>Лист метала (CAT160/КДМ)</t>
  </si>
  <si>
    <t>Труба D720 лежалая</t>
  </si>
  <si>
    <t>ООО Стройторгсервис</t>
  </si>
  <si>
    <t xml:space="preserve">Бортовой камень </t>
  </si>
  <si>
    <t>ООО Мостовые конструкции</t>
  </si>
  <si>
    <t xml:space="preserve">Лотки водоотводные 600мм </t>
  </si>
  <si>
    <t>ООО БСК 17</t>
  </si>
  <si>
    <t xml:space="preserve">Подшипники ДСУ </t>
  </si>
  <si>
    <t>ООО Подшипник Сервис</t>
  </si>
  <si>
    <t>Лента ПП</t>
  </si>
  <si>
    <t>ЗЧ Бортовой редуктор CAT 318</t>
  </si>
  <si>
    <t>УТ-685</t>
  </si>
  <si>
    <t>ЗЧ КПП CAT 318</t>
  </si>
  <si>
    <t>УТ-686</t>
  </si>
  <si>
    <t xml:space="preserve">Режущие кромки CAT160 1 комплект </t>
  </si>
  <si>
    <t>Х_08596</t>
  </si>
  <si>
    <t>Стандарт Парк комплектующие</t>
  </si>
  <si>
    <t>РС-3852</t>
  </si>
  <si>
    <t>Стандарт Парк труба, дождеприемник,лотки</t>
  </si>
  <si>
    <t>РС-3566</t>
  </si>
  <si>
    <t>Подшипники F212</t>
  </si>
  <si>
    <t xml:space="preserve">Топливо на участон (Соловьевск) </t>
  </si>
  <si>
    <t>ООО ИСТ Трейд</t>
  </si>
  <si>
    <t>Стартер SEM 655</t>
  </si>
  <si>
    <t>ООО "Восточная техника"</t>
  </si>
  <si>
    <t>CH22-051592</t>
  </si>
  <si>
    <t>Скорлупа 30м</t>
  </si>
  <si>
    <t>ООО "ТЕПЛОСЕРВИС-СИБИРЬ"</t>
  </si>
  <si>
    <t xml:space="preserve">ГСИ по ведомости </t>
  </si>
  <si>
    <t>ООО ТД "МЕАПЛАСТ УРАЛ"</t>
  </si>
  <si>
    <t>Маски знаков/знаки А-360</t>
  </si>
  <si>
    <t>ДПК</t>
  </si>
  <si>
    <t>ООО СибСнабРем</t>
  </si>
  <si>
    <t xml:space="preserve">Сумма вознаграждения согласно п. 4.2. агентского договора № 1-21 от «28» мая 2021 г. за Август 2022г. </t>
  </si>
  <si>
    <t xml:space="preserve">За период с 01.09.2022 г. по 31.08.2022 г. произведен закуп ТМЦ:
</t>
  </si>
  <si>
    <t>Отвал без навески ЭД-405</t>
  </si>
  <si>
    <t>ООО "3авод комплексные дорожные машины''</t>
  </si>
  <si>
    <t>Зимняя Спецодежда</t>
  </si>
  <si>
    <t>УТ-8823</t>
  </si>
  <si>
    <t>Подшипник  502309м / 10 ГПЗ</t>
  </si>
  <si>
    <t>Фильтр топливный CAT 10</t>
  </si>
  <si>
    <t>УТ-878</t>
  </si>
  <si>
    <t>Осенняя Спецодежда</t>
  </si>
  <si>
    <t>ЦБ-2824</t>
  </si>
  <si>
    <t>Столбики сигнальные С3 - 76 шт</t>
  </si>
  <si>
    <t>Сальники/уплотнения CAT 318</t>
  </si>
  <si>
    <t>CH22-054040</t>
  </si>
  <si>
    <t>Насос форсунок CAT 329</t>
  </si>
  <si>
    <t>ООО Амур Машинери</t>
  </si>
  <si>
    <t>Стекло Hyundai H940S</t>
  </si>
  <si>
    <t>ООО "НеоПартс"</t>
  </si>
  <si>
    <t>CAT 330 коронки, CAT 10 коронки Pc 300 коронки</t>
  </si>
  <si>
    <t>СФ Х_09827</t>
  </si>
  <si>
    <t>Светильники в цех Ip65 15шт</t>
  </si>
  <si>
    <t>Пальцы для коронок CAT10t</t>
  </si>
  <si>
    <t>СФ Х_09230</t>
  </si>
  <si>
    <t>Ремни на роторную дробилку</t>
  </si>
  <si>
    <t>N-12824</t>
  </si>
  <si>
    <t>Hyundai H-1</t>
  </si>
  <si>
    <t>ООО АвтоМакс</t>
  </si>
  <si>
    <t>СВ, Стойки, Метизы</t>
  </si>
  <si>
    <t>Мерседес Sprinter ТО</t>
  </si>
  <si>
    <t>ИП ЮДИН О</t>
  </si>
  <si>
    <t>АА179</t>
  </si>
  <si>
    <t>Cцепление каток XCMG</t>
  </si>
  <si>
    <t>ООО БОСТ</t>
  </si>
  <si>
    <t>ЦБ-551</t>
  </si>
  <si>
    <t>Насос грохот rexroth</t>
  </si>
  <si>
    <t>ООО "КОРРУС - ТЕХНИКС"</t>
  </si>
  <si>
    <t>Резина Зимняя Hino 2</t>
  </si>
  <si>
    <t>ИП Бушля М.С.</t>
  </si>
  <si>
    <t>Лобовое фортунер</t>
  </si>
  <si>
    <t>ИП Степаненко А.В.</t>
  </si>
  <si>
    <t>Зимняя Спецодежда (Обувь)</t>
  </si>
  <si>
    <t>УТ-9063</t>
  </si>
  <si>
    <t>Бортовой редуктор h940</t>
  </si>
  <si>
    <t>УТ-974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</si>
  <si>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за </t>
    </r>
    <r>
      <rPr>
        <b/>
        <sz val="11"/>
        <color rgb="FF000000"/>
        <rFont val="Times New Roman"/>
        <family val="1"/>
      </rPr>
      <t xml:space="preserve">Сентябрь </t>
    </r>
    <r>
      <rPr>
        <sz val="11"/>
        <color rgb="FF000000"/>
        <rFont val="Times New Roman"/>
        <family val="1"/>
      </rPr>
      <t xml:space="preserve">2022г. </t>
    </r>
  </si>
  <si>
    <t xml:space="preserve">За период с 01.09.2022 г. по 30.09.2022 г. произведен закуп ТМЦ:
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</si>
  <si>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за </t>
    </r>
    <r>
      <rPr>
        <b/>
        <sz val="11"/>
        <color rgb="FF000000"/>
        <rFont val="Times New Roman"/>
        <family val="1"/>
      </rPr>
      <t xml:space="preserve">Сентябрь </t>
    </r>
    <r>
      <rPr>
        <sz val="11"/>
        <color rgb="FF000000"/>
        <rFont val="Times New Roman"/>
        <family val="1"/>
      </rPr>
      <t xml:space="preserve">2022г.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</si>
  <si>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01.10.2022 г. по 31.10.2022</t>
    </r>
    <r>
      <rPr>
        <sz val="11"/>
        <color rgb="FF000000"/>
        <rFont val="Times New Roman"/>
        <family val="1"/>
      </rPr>
      <t xml:space="preserve"> г. произведен закуп ТМЦ:
</t>
    </r>
  </si>
  <si>
    <t>Фильтра гидровлики ST 2.8</t>
  </si>
  <si>
    <t>ООО КОРРУС ТЕХ</t>
  </si>
  <si>
    <t>Металлические кассеты для подвесного потолка</t>
  </si>
  <si>
    <t>ООО «САТУРН СИБИРЬ»</t>
  </si>
  <si>
    <t>Шины IVECO карьерная 8шт</t>
  </si>
  <si>
    <t>ООО"ВостокСпецТрейд"</t>
  </si>
  <si>
    <t xml:space="preserve">Грохот Метсо / лента </t>
  </si>
  <si>
    <t>Лист металла 16мм с нарезкой</t>
  </si>
  <si>
    <t>Цепной Редуктор ворот Алютех</t>
  </si>
  <si>
    <t>ООО ПК Входные Системы</t>
  </si>
  <si>
    <t>Шины КДМ 802</t>
  </si>
  <si>
    <t>Сочление рамы Cat 160H</t>
  </si>
  <si>
    <t>ООО "Амур Машинери"</t>
  </si>
  <si>
    <t xml:space="preserve">Ножи на KOMATSU D275A-5D </t>
  </si>
  <si>
    <t>ООО "Сфера"</t>
  </si>
  <si>
    <t>СФ Х_10311</t>
  </si>
  <si>
    <t xml:space="preserve">Капот на КАМАЗ </t>
  </si>
  <si>
    <t>ООО "АВТОПАРАД"</t>
  </si>
  <si>
    <t>ЗЧ Hyundai H940S</t>
  </si>
  <si>
    <t>УТ-1066</t>
  </si>
  <si>
    <t xml:space="preserve">Фильтра масляные KOMATSU D275A-5D </t>
  </si>
  <si>
    <t>УТ-1072</t>
  </si>
  <si>
    <t>Редуктора (конвеер 1, 6-10)</t>
  </si>
  <si>
    <t>Топливный бак КДМ 300л</t>
  </si>
  <si>
    <t xml:space="preserve">Гидроцилиндр на средний отвал КДМ 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</si>
  <si>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за </t>
    </r>
    <r>
      <rPr>
        <b/>
        <sz val="11"/>
        <color rgb="FF000000"/>
        <rFont val="Times New Roman"/>
        <family val="1"/>
      </rPr>
      <t>Октябрь</t>
    </r>
    <r>
      <rPr>
        <sz val="11"/>
        <color rgb="FF000000"/>
        <rFont val="Times New Roman"/>
        <family val="1"/>
      </rPr>
      <t xml:space="preserve"> 2022г.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</si>
  <si>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01.10.2022 г. по 31.10.2022</t>
    </r>
    <r>
      <rPr>
        <sz val="11"/>
        <color rgb="FF000000"/>
        <rFont val="Times New Roman"/>
        <family val="1"/>
      </rPr>
      <t xml:space="preserve"> г. произведен закуп ТМЦ:
</t>
    </r>
  </si>
  <si>
    <t xml:space="preserve">Производственный интсрумент </t>
  </si>
  <si>
    <t>ООО Всеинструменты.ру</t>
  </si>
  <si>
    <t>2210-270767</t>
  </si>
  <si>
    <t>ТМЦ ОФИС</t>
  </si>
  <si>
    <t>ООО Леруа Мерлен Восток</t>
  </si>
  <si>
    <t>030000-477380-0253</t>
  </si>
  <si>
    <t>Фильтра H-1</t>
  </si>
  <si>
    <t>ООО Автомир 54</t>
  </si>
  <si>
    <t>Радиатор печки</t>
  </si>
  <si>
    <t>УТ-1094</t>
  </si>
  <si>
    <t>Ремни Metso</t>
  </si>
  <si>
    <t>N-14681</t>
  </si>
  <si>
    <t>Ремни ДСК</t>
  </si>
  <si>
    <t>N-14716</t>
  </si>
  <si>
    <t>Ножи SEM</t>
  </si>
  <si>
    <t>СФ Х_10829</t>
  </si>
  <si>
    <t>Рации Tetra</t>
  </si>
  <si>
    <t>ООО Лео Телеком</t>
  </si>
  <si>
    <t>221013_03</t>
  </si>
  <si>
    <t>ЖБИ</t>
  </si>
  <si>
    <t>ООО МОСТОВЫЕ КОНСТРУКЦИИ ТРЕСТ</t>
  </si>
  <si>
    <t>338/282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</si>
  <si>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за </t>
    </r>
    <r>
      <rPr>
        <b/>
        <sz val="11"/>
        <color rgb="FF000000"/>
        <rFont val="Times New Roman"/>
        <family val="1"/>
      </rPr>
      <t>Октябрь</t>
    </r>
    <r>
      <rPr>
        <sz val="11"/>
        <color rgb="FF000000"/>
        <rFont val="Times New Roman"/>
        <family val="1"/>
      </rPr>
      <t xml:space="preserve"> 2022г.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</si>
  <si>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01.11.2022 г. по 30.11.2022</t>
    </r>
    <r>
      <rPr>
        <sz val="11"/>
        <color rgb="FF000000"/>
        <rFont val="Times New Roman"/>
        <family val="1"/>
      </rPr>
      <t xml:space="preserve"> г. произведен закуп ТМЦ:
</t>
    </r>
  </si>
  <si>
    <t>ЗЧ Вибромотор METSO LT106</t>
  </si>
  <si>
    <t>ООО КОРРУС - Техникс</t>
  </si>
  <si>
    <t>Подшипник, сальник (LT 106)</t>
  </si>
  <si>
    <t>Колодки тормозные Fortuner</t>
  </si>
  <si>
    <t xml:space="preserve">Сошка BRP </t>
  </si>
  <si>
    <t>ИП Сорокин В.С.</t>
  </si>
  <si>
    <t>Лист металла 20мм</t>
  </si>
  <si>
    <t xml:space="preserve">Тензодатчики </t>
  </si>
  <si>
    <t>2210-215698-98949</t>
  </si>
  <si>
    <t xml:space="preserve">Вал со звездой КДМ 802 </t>
  </si>
  <si>
    <t>Лист металла 16мм</t>
  </si>
  <si>
    <t>Флаги СРС</t>
  </si>
  <si>
    <t>ООО "ФЛАГ СЕРВИС"</t>
  </si>
  <si>
    <t>Бондажная лента,Замки</t>
  </si>
  <si>
    <t xml:space="preserve">Лента 38,5мп, Лента отвала 32мп </t>
  </si>
  <si>
    <t>N-15298</t>
  </si>
  <si>
    <t>Вибродвигатель Metso LT 106</t>
  </si>
  <si>
    <t>ООО "КОРРУС-Техникс"</t>
  </si>
  <si>
    <t>ПГУ тормозов (Тадана)</t>
  </si>
  <si>
    <t>Маски знаков по заявке</t>
  </si>
  <si>
    <t>Прожектора рем.зона</t>
  </si>
  <si>
    <t>ООО ЛЕДЛЕВЕЛ ГРУПП</t>
  </si>
  <si>
    <t>147/22</t>
  </si>
  <si>
    <t>ЗЧ BRP</t>
  </si>
  <si>
    <t>Венец маховика, втурлки насоса Changlin 956</t>
  </si>
  <si>
    <t>ООО ТриумфДеталь</t>
  </si>
  <si>
    <t>Т480</t>
  </si>
  <si>
    <t>Венец ГТР Changlin 956</t>
  </si>
  <si>
    <t>ООО ТК "Автоазия"</t>
  </si>
  <si>
    <t>УТ903</t>
  </si>
  <si>
    <t xml:space="preserve">Форсунки CAT 329DL 4шт </t>
  </si>
  <si>
    <t>ООО "ФОРСВОСТОК"</t>
  </si>
  <si>
    <t xml:space="preserve">Ёлка + украшения </t>
  </si>
  <si>
    <t>ООО "ГринТриз"</t>
  </si>
  <si>
    <t>MRZZP-01329</t>
  </si>
  <si>
    <t>Оформление Ëлки</t>
  </si>
  <si>
    <t>MRZZP-01330</t>
  </si>
  <si>
    <t>Световая балка и знак (SEM)</t>
  </si>
  <si>
    <t>Двигатель L200</t>
  </si>
  <si>
    <t>Стекло лобовое ( нижнее ) Cat 330</t>
  </si>
  <si>
    <t>Ежедневники А4</t>
  </si>
  <si>
    <t>ООО ДНА ТРЕЙДИНГ</t>
  </si>
  <si>
    <t xml:space="preserve">Лента 500x9x59м в кольцо </t>
  </si>
  <si>
    <t>N-16017</t>
  </si>
  <si>
    <t xml:space="preserve">Лопаты снеговые без черенка </t>
  </si>
  <si>
    <t>ООО «Леруа Мерлен Восток»</t>
  </si>
  <si>
    <t>030 000-477380/9917</t>
  </si>
  <si>
    <t>Скребки,гидроцилинд под.отвала</t>
  </si>
  <si>
    <t xml:space="preserve">Знаки по заявки </t>
  </si>
  <si>
    <t xml:space="preserve">Колеса CAT 428 перед </t>
  </si>
  <si>
    <t>ООО "ШинСервис-Сибирь"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</si>
  <si>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за </t>
    </r>
    <r>
      <rPr>
        <b/>
        <sz val="11"/>
        <color rgb="FF000000"/>
        <rFont val="Times New Roman"/>
        <family val="1"/>
      </rPr>
      <t>Ноябрь</t>
    </r>
    <r>
      <rPr>
        <sz val="11"/>
        <color rgb="FF000000"/>
        <rFont val="Times New Roman"/>
        <family val="1"/>
      </rPr>
      <t xml:space="preserve"> 2022г.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</si>
  <si>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01.11.2022 г. по 30.11.2022</t>
    </r>
    <r>
      <rPr>
        <sz val="11"/>
        <color rgb="FF000000"/>
        <rFont val="Times New Roman"/>
        <family val="1"/>
      </rPr>
      <t xml:space="preserve"> г. произведен закуп ТМЦ:
</t>
    </r>
  </si>
  <si>
    <t>Спецодежда</t>
  </si>
  <si>
    <t>ТЕХНОАВИА - СИБИРЬ ООО</t>
  </si>
  <si>
    <t>УТ-10708</t>
  </si>
  <si>
    <t>ООО ФОРСВОСТОК</t>
  </si>
  <si>
    <t>Автошины</t>
  </si>
  <si>
    <t xml:space="preserve">ООО ВОСТОКСПЕЦТРЕЙД 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</si>
  <si>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за </t>
    </r>
    <r>
      <rPr>
        <b/>
        <sz val="11"/>
        <color rgb="FF000000"/>
        <rFont val="Times New Roman"/>
        <family val="1"/>
      </rPr>
      <t>Ноябрь</t>
    </r>
    <r>
      <rPr>
        <sz val="11"/>
        <color rgb="FF000000"/>
        <rFont val="Times New Roman"/>
        <family val="1"/>
      </rPr>
      <t xml:space="preserve"> 2022г.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</si>
  <si>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01.12.2022 г. по 31.12.2022</t>
    </r>
    <r>
      <rPr>
        <sz val="11"/>
        <color rgb="FF000000"/>
        <rFont val="Times New Roman"/>
        <family val="1"/>
      </rPr>
      <t xml:space="preserve"> г. произведен закуп ТМЦ:
</t>
    </r>
  </si>
  <si>
    <t>Патрубок EGR Hyundai H1</t>
  </si>
  <si>
    <t>Шкаф инструментальный</t>
  </si>
  <si>
    <t>ООО "СТОРЭДЖ ГРУПП"</t>
  </si>
  <si>
    <t>Привод разбрасывающего диска КДМ</t>
  </si>
  <si>
    <t>Лист металла 16мм/ 20мм</t>
  </si>
  <si>
    <t>Коронки + пальцы усиленные на Cat,Komatsu</t>
  </si>
  <si>
    <t>ООО "СФЕРА"</t>
  </si>
  <si>
    <t>СФ Х_11925</t>
  </si>
  <si>
    <t>Р/К Гидроцилидра Sem655</t>
  </si>
  <si>
    <t>ООО"Техника Дальний Восток"</t>
  </si>
  <si>
    <t>Гидронасос DARK 52 КДМ</t>
  </si>
  <si>
    <t>ООО "Импорткама"</t>
  </si>
  <si>
    <t>Ремни грохот ДСУ</t>
  </si>
  <si>
    <t>N-16306</t>
  </si>
  <si>
    <t>Плиты METSO LT 106</t>
  </si>
  <si>
    <t>Детали ТО АКП Fortuner</t>
  </si>
  <si>
    <t>РВД гидромотор SEM 922 (по наличию)</t>
  </si>
  <si>
    <t>Двигателя 5.5 , 5.7kw</t>
  </si>
  <si>
    <t>ООО "Асинхронные двигатели"</t>
  </si>
  <si>
    <t>Колодки TLC200 (Перед, зад)</t>
  </si>
  <si>
    <t>РВД средний отвал, рулевой цилиндр Sem 922</t>
  </si>
  <si>
    <t>Маска 6.13 + основы</t>
  </si>
  <si>
    <t>Прокладки сливной пробки TLC 200</t>
  </si>
  <si>
    <t>Концевик педали тормоза Komatsu D275</t>
  </si>
  <si>
    <t>ООО"КОМЕК МАШИНЕРИ"</t>
  </si>
  <si>
    <t>УП-32482</t>
  </si>
  <si>
    <t>Ролик конвейера LT 106</t>
  </si>
  <si>
    <t>Помпа Cat 330</t>
  </si>
  <si>
    <t>СН22-065760</t>
  </si>
  <si>
    <t>БО по ведомости (ФАД км 355, 273, 241)</t>
  </si>
  <si>
    <t>Снегоуборочная машина</t>
  </si>
  <si>
    <t>ООО "Снегоуборщик ДВ"</t>
  </si>
  <si>
    <t>Детали ТО Mercedes Sprinter</t>
  </si>
  <si>
    <t>AА000239</t>
  </si>
  <si>
    <t>Знаки 6.13</t>
  </si>
  <si>
    <t>Сходни ( трапы )</t>
  </si>
  <si>
    <t>ИП Бутовский С.Н.</t>
  </si>
  <si>
    <t>Ручка двери Hyundai H940S</t>
  </si>
  <si>
    <t>УТ-916</t>
  </si>
  <si>
    <t>УТ-1233</t>
  </si>
  <si>
    <t>Нижняя секция подъема ворот</t>
  </si>
  <si>
    <t>Детали ТО Fotruner</t>
  </si>
  <si>
    <t>Гидрораспределитель КДМ №827</t>
  </si>
  <si>
    <t>Фильтра Cat330</t>
  </si>
  <si>
    <t>Фильтра топливные Fotruner</t>
  </si>
  <si>
    <t>Знаки 6.13 (267 км)</t>
  </si>
  <si>
    <t>Лента конвейера готовой продукции 0,5 х 31 м.</t>
  </si>
  <si>
    <t>N-17216</t>
  </si>
  <si>
    <t>Фильтр топливный CAT 330</t>
  </si>
  <si>
    <t>УТ-1331</t>
  </si>
  <si>
    <t>Маски на временные дорожные знаки 3.20</t>
  </si>
  <si>
    <t>Шины Урал</t>
  </si>
  <si>
    <t>Столбики С3</t>
  </si>
  <si>
    <t>ООО «Техснаб»</t>
  </si>
  <si>
    <t>Малые архитектурные формы ГОК</t>
  </si>
  <si>
    <t>ИП Прощалыгин А.С.</t>
  </si>
  <si>
    <t>Toyota Hilux</t>
  </si>
  <si>
    <t>АО УЛК</t>
  </si>
  <si>
    <t>Ц-1196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</si>
  <si>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за </t>
    </r>
    <r>
      <rPr>
        <b/>
        <sz val="11"/>
        <color rgb="FF000000"/>
        <rFont val="Times New Roman"/>
        <family val="1"/>
      </rPr>
      <t>Декабрь</t>
    </r>
    <r>
      <rPr>
        <sz val="11"/>
        <color rgb="FF000000"/>
        <rFont val="Times New Roman"/>
        <family val="1"/>
      </rPr>
      <t xml:space="preserve"> 2022г.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</si>
  <si>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01.12.2022 г. по 31.12.2022</t>
    </r>
    <r>
      <rPr>
        <sz val="11"/>
        <color rgb="FF000000"/>
        <rFont val="Times New Roman"/>
        <family val="1"/>
      </rPr>
      <t xml:space="preserve"> г. произведен закуп ТМЦ:
</t>
    </r>
  </si>
  <si>
    <t xml:space="preserve">ООО "СФЕРА" </t>
  </si>
  <si>
    <t xml:space="preserve">ООО «АВТОМИР-54» </t>
  </si>
  <si>
    <t>Детали ТО Mercedes Sprinter</t>
  </si>
  <si>
    <t xml:space="preserve">Знаки 6.13 </t>
  </si>
  <si>
    <t xml:space="preserve">Сходни ( трапы ) </t>
  </si>
  <si>
    <t>Ремкомплект помпы шнекоротор</t>
  </si>
  <si>
    <t xml:space="preserve">ООО ПК Входные Системы </t>
  </si>
  <si>
    <t xml:space="preserve">Знаки 6.13 (267 км) </t>
  </si>
  <si>
    <t>ЗЧ CAT</t>
  </si>
  <si>
    <t>.№СН22-065794; №СН22-065832;№СН22-065844</t>
  </si>
  <si>
    <t>№СН22-067395; №СН22-067391, №СН22-067397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</si>
  <si>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за </t>
    </r>
    <r>
      <rPr>
        <b/>
        <sz val="11"/>
        <color rgb="FF000000"/>
        <rFont val="Times New Roman"/>
        <family val="1"/>
      </rPr>
      <t>Декабрь</t>
    </r>
    <r>
      <rPr>
        <sz val="11"/>
        <color rgb="FF000000"/>
        <rFont val="Times New Roman"/>
        <family val="1"/>
      </rPr>
      <t xml:space="preserve"> 2022г.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</si>
  <si>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01.01.2023 г. по 31.01.2023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</si>
  <si>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t>Фары TLC105</t>
  </si>
  <si>
    <t>ИП Григорьев В.В</t>
  </si>
  <si>
    <t xml:space="preserve">ЗЧ Щековая дробилка </t>
  </si>
  <si>
    <t xml:space="preserve">ЗЧ Роторная дробилка </t>
  </si>
  <si>
    <t>Возвратный ролик LT106</t>
  </si>
  <si>
    <t>ВСОДД - I очередь (постоянное размещение)</t>
  </si>
  <si>
    <t>Левое крыло, дверь левая Урал</t>
  </si>
  <si>
    <t>Б 142636/1</t>
  </si>
  <si>
    <t xml:space="preserve">Маски знаков НРГ-район </t>
  </si>
  <si>
    <t>Дизельный отопитель CAT 160 SEM 922</t>
  </si>
  <si>
    <t>ООО "ТЕРМОКАР"</t>
  </si>
  <si>
    <t>Подножка правая, оптика УРАЛ 4320</t>
  </si>
  <si>
    <t>Б 142636/2</t>
  </si>
  <si>
    <t xml:space="preserve">Футеровка барабанов ( Ромб) </t>
  </si>
  <si>
    <t>ООО "ЗолотоПромСнаб"</t>
  </si>
  <si>
    <t>ЗЧ по ведомости АБЗ ( подшипники )</t>
  </si>
  <si>
    <t>ООО Подшипник Сервис НСК</t>
  </si>
  <si>
    <t>Масло TLC 105</t>
  </si>
  <si>
    <t xml:space="preserve">ООО Автомир -54 </t>
  </si>
  <si>
    <t>CAT 330 Катки</t>
  </si>
  <si>
    <t xml:space="preserve">СФ Х_00122 </t>
  </si>
  <si>
    <t>ЗЧ Metso LT 106 по наличию</t>
  </si>
  <si>
    <t>ООО КОРРУС ТЕХНИКС</t>
  </si>
  <si>
    <t>Датчик заполнения бункера Metso LT 106</t>
  </si>
  <si>
    <t>Дефлектор TLC 200, Фильтра H1</t>
  </si>
  <si>
    <t>1.34.1 / 1.34.2  ФАД км 258-248 50шт</t>
  </si>
  <si>
    <t>Маска знака Тында /Соловьевск/Невер</t>
  </si>
  <si>
    <t>Колесо CAT 426</t>
  </si>
  <si>
    <t>ООО "ШинСервис-Сибирь</t>
  </si>
  <si>
    <t>Лист металла 20мм с нарезкой</t>
  </si>
  <si>
    <t xml:space="preserve">ЗЧ TLC 105 по ведомости </t>
  </si>
  <si>
    <t>Фильтра Hilux , l200 возд/топ/салон</t>
  </si>
  <si>
    <t>Петли дверей TLC 105</t>
  </si>
  <si>
    <t>Остекление ворот</t>
  </si>
  <si>
    <t>Тормозная жидкость DOT4 - 4л</t>
  </si>
  <si>
    <t>CAT 329 натяжитель гусеницы, опорные катки</t>
  </si>
  <si>
    <t>СФ Х_00058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</si>
  <si>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Январь 2023г.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</si>
  <si>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01.01.2023 г. по 31.01.2023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</si>
  <si>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Январь 2023г.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</si>
  <si>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01.02.2023 г. по 28.02.2023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</si>
  <si>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t>Rexroth D- 72160 Horb Lt 106</t>
  </si>
  <si>
    <t>УТ-72</t>
  </si>
  <si>
    <t xml:space="preserve">Сита </t>
  </si>
  <si>
    <t>СВЭ для БО</t>
  </si>
  <si>
    <t>Гидрораспределителя КДМ аналог РФ</t>
  </si>
  <si>
    <t>Диск пескоразбрасывателя КДМ</t>
  </si>
  <si>
    <t>Решетка радиатора TLC 105</t>
  </si>
  <si>
    <t>Маска Знака (Обратная связь)</t>
  </si>
  <si>
    <t>Шины Трал kapsen hs268 4шт</t>
  </si>
  <si>
    <t>Турбина Changlin 956</t>
  </si>
  <si>
    <t>Т64</t>
  </si>
  <si>
    <t xml:space="preserve">Отвал на МТЗ  </t>
  </si>
  <si>
    <t>ООО "АГРО АТЛАНТ"</t>
  </si>
  <si>
    <t>ЗЧ SBM по ведомости СПЭКО</t>
  </si>
  <si>
    <t>Светильники (скания, мойка, дальний цех)</t>
  </si>
  <si>
    <t>2302-140900-13209</t>
  </si>
  <si>
    <t>Ремонт транспортерных лент METSO LT106</t>
  </si>
  <si>
    <t>ООО "Технологии ИНДУСТРИИ"</t>
  </si>
  <si>
    <t>Н-388</t>
  </si>
  <si>
    <t>Привод ворот Алютех</t>
  </si>
  <si>
    <t>ПК Входные Системы</t>
  </si>
  <si>
    <t>Нижняя панель ворот, ролики ворот</t>
  </si>
  <si>
    <t xml:space="preserve">Датчик скорости Cat 318 </t>
  </si>
  <si>
    <t>СН23-004736</t>
  </si>
  <si>
    <t>Лист метала с нарезкой 16-20мм</t>
  </si>
  <si>
    <t>СВЭ для БО - 200 шт</t>
  </si>
  <si>
    <t>Маски знаков по ведости</t>
  </si>
  <si>
    <t>Пластины бронзовые cat160h</t>
  </si>
  <si>
    <t>УТ-154</t>
  </si>
  <si>
    <t>Устройство обогрева палатки</t>
  </si>
  <si>
    <t>ООО "ОНТЕК ГРУПП"</t>
  </si>
  <si>
    <t>Форсунки CAT 160H - 6шт</t>
  </si>
  <si>
    <t>Реле безопасности LT106</t>
  </si>
  <si>
    <t>ИП Чиняев А.И.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</si>
  <si>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Февраль 2023г.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</si>
  <si>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01.02.2023 г. по 28.02.2023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</si>
  <si>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t>Задняя наклейка на бак KOMATSU</t>
  </si>
  <si>
    <t>Ип Лобакин А.В.</t>
  </si>
  <si>
    <t xml:space="preserve">Маски знаков 1.16 - 6шт </t>
  </si>
  <si>
    <t>Маски знаков 400х400</t>
  </si>
  <si>
    <t xml:space="preserve">Обечайки роликов 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</si>
  <si>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Февраль 2023г.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</si>
  <si>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01.03.2023 г. по 31.03.2023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</si>
  <si>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t>Листы полиуретана</t>
  </si>
  <si>
    <t>ООО СДК</t>
  </si>
  <si>
    <t>Скребки в бункер на КДМ 509</t>
  </si>
  <si>
    <t xml:space="preserve">Стрелка светодиодная на АГ SEM 922 </t>
  </si>
  <si>
    <t>Служебная палатка</t>
  </si>
  <si>
    <t>ООО «ПневмоСибирь»</t>
  </si>
  <si>
    <t>Фильтра Копровая машина Orteco HATZ</t>
  </si>
  <si>
    <t xml:space="preserve">ВСОДД 235 - 364 км ( ФАД ) временные </t>
  </si>
  <si>
    <t xml:space="preserve">Звезды </t>
  </si>
  <si>
    <t>ООО "Пром Комплект "</t>
  </si>
  <si>
    <t>Амортизирующие ролики</t>
  </si>
  <si>
    <t>Замок и челох Hi Jack</t>
  </si>
  <si>
    <t>Джойстик управлением отвала Changlin 956</t>
  </si>
  <si>
    <t>ООО «БОСТ»</t>
  </si>
  <si>
    <t>ЦБ-115</t>
  </si>
  <si>
    <t>CAT 330 ленивец, каток верхний</t>
  </si>
  <si>
    <t>СФ Х_02139</t>
  </si>
  <si>
    <t>Маски знаков  235-364 км (РДТ)</t>
  </si>
  <si>
    <t>Знаки на 235-364 км (РДТ)</t>
  </si>
  <si>
    <t>Насос для палатки</t>
  </si>
  <si>
    <t>Флаги, флагштоки ( мероприятие )</t>
  </si>
  <si>
    <t>Флаги прозрачные РФ и СРС</t>
  </si>
  <si>
    <t xml:space="preserve">Маски знаков 1.15 , 3.24 ВДЗ </t>
  </si>
  <si>
    <t>Светодиодные знаки на автомобиль УАЗ</t>
  </si>
  <si>
    <t>Краска для топливных модулей</t>
  </si>
  <si>
    <t>ИП Козырис В.А</t>
  </si>
  <si>
    <t>Сигнальные столбики на шайбе - 150 шт</t>
  </si>
  <si>
    <t>ООО "РУСДОРЗНАК"</t>
  </si>
  <si>
    <t>Запасное колесо Урал (бензовоз)</t>
  </si>
  <si>
    <t>ООО ВОСТОКСПЕЦТРЭЙД</t>
  </si>
  <si>
    <t>Ремни 16 шт</t>
  </si>
  <si>
    <t>N-3395</t>
  </si>
  <si>
    <t>Маски знаков ( Аварийные )</t>
  </si>
  <si>
    <t>Заглушка круглая д. 76 - 100 шт</t>
  </si>
  <si>
    <t>2 колеса CAT 426</t>
  </si>
  <si>
    <t>CAT 329 Палец стрелы основной</t>
  </si>
  <si>
    <t>УТ-302</t>
  </si>
  <si>
    <t>Знак 2.1 Главная дорога</t>
  </si>
  <si>
    <t xml:space="preserve">Привод пескоразбрасыватель + диск 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</si>
  <si>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Март 2023г.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</si>
  <si>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01.03.2023 г. по 31.03.2023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</si>
  <si>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t>Фильтра TLC 200, RX350</t>
  </si>
  <si>
    <t>ООО"Автомир 54"</t>
  </si>
  <si>
    <t>Преобразователь с 24в  / Противооткаты для груз.машин</t>
  </si>
  <si>
    <t>Б 22951/1, Б 26785/1</t>
  </si>
  <si>
    <t>Бочка масла castle для Toyota</t>
  </si>
  <si>
    <t>ООО "Авто НСК"</t>
  </si>
  <si>
    <t>УТН00000258</t>
  </si>
  <si>
    <t>Терминал Tetra - 1 шт</t>
  </si>
  <si>
    <t>АО "Лео Телеком"</t>
  </si>
  <si>
    <t>230315_01</t>
  </si>
  <si>
    <t>Занавес для сварочного цеха</t>
  </si>
  <si>
    <t>ООО "НОВЫЕ ТЕХНОЛОГИИ - СВАРКА"</t>
  </si>
  <si>
    <t>Зарядки для Tetra580 - 3 шт</t>
  </si>
  <si>
    <t>ЗАО "Вива-Телеком"</t>
  </si>
  <si>
    <t>Фильтра, патрубки Changlin</t>
  </si>
  <si>
    <t>ООО "СПК-ИМПОРТ"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</si>
  <si>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Март 2023г.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</si>
  <si>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01.04.2023 г. по 30.04.2023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</si>
  <si>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t>Ролики по ведомости ДСУ</t>
  </si>
  <si>
    <t>H-819</t>
  </si>
  <si>
    <t xml:space="preserve">Холодный асфальт </t>
  </si>
  <si>
    <t>ООО "Торус"</t>
  </si>
  <si>
    <t>УТ-7120</t>
  </si>
  <si>
    <t>Маски знаков 1.11.1 - 2 шт (ГК26-18)</t>
  </si>
  <si>
    <t xml:space="preserve">Спецодежда Механизаторы </t>
  </si>
  <si>
    <t>ООО "ТЕХНОАВИА - СИБИРЬ"</t>
  </si>
  <si>
    <t>УТ-2692</t>
  </si>
  <si>
    <t>Спецодежда Дорожные рабочие</t>
  </si>
  <si>
    <t>УТ-2693</t>
  </si>
  <si>
    <t>Спецодежда Асфальтоукладчики</t>
  </si>
  <si>
    <t>УТ-2679</t>
  </si>
  <si>
    <t>Спецодежда ИТР</t>
  </si>
  <si>
    <t>УТ-2771</t>
  </si>
  <si>
    <t>Спецодежда ДСУ/АБЗ</t>
  </si>
  <si>
    <t>УТ-2690</t>
  </si>
  <si>
    <t xml:space="preserve">Материалы пола </t>
  </si>
  <si>
    <t>ООО Андромета Северо-Восток</t>
  </si>
  <si>
    <t xml:space="preserve">Маска на столбики </t>
  </si>
  <si>
    <t>Подшипники ДСУ</t>
  </si>
  <si>
    <t>Забурник Hyndai - 2шт</t>
  </si>
  <si>
    <t>ООО Технопарк "Импульс"</t>
  </si>
  <si>
    <t>ТИ-00026788</t>
  </si>
  <si>
    <t>Запасные части Трал</t>
  </si>
  <si>
    <t>Усиленые пальцы на соху Сat 10</t>
  </si>
  <si>
    <t>Шильдик Тойота</t>
  </si>
  <si>
    <t>Флаг РФ</t>
  </si>
  <si>
    <t>Стойки, знаки 1.34.1 ГК 26-18 участок 235-364</t>
  </si>
  <si>
    <t xml:space="preserve">Cat 330 комплект гусок и сегменты </t>
  </si>
  <si>
    <t>СФ Х_03991</t>
  </si>
  <si>
    <t>ЗЧ Metso LT 106 под заказ</t>
  </si>
  <si>
    <t>БО на содержание</t>
  </si>
  <si>
    <t>Шины Iveco 045</t>
  </si>
  <si>
    <t>ООО "ВостокСпецТрейд"</t>
  </si>
  <si>
    <t>Фильтра TLC 300</t>
  </si>
  <si>
    <t>Фильтра H1</t>
  </si>
  <si>
    <t>Масло CAT 10 - 3 бочки</t>
  </si>
  <si>
    <t xml:space="preserve">ЗЧ ТО Mersedes Sprinter </t>
  </si>
  <si>
    <t>AА000052</t>
  </si>
  <si>
    <t>Штабной модуль</t>
  </si>
  <si>
    <t>Мебель для штаба</t>
  </si>
  <si>
    <t>ООО ПФК ТОПАЗ</t>
  </si>
  <si>
    <t>Лента кольцо 31 м 500мм</t>
  </si>
  <si>
    <t>N-4505</t>
  </si>
  <si>
    <t>Маски 1.11 знак 6.13</t>
  </si>
  <si>
    <t>Колодки Fortuner</t>
  </si>
  <si>
    <t>Коронки CAT 10</t>
  </si>
  <si>
    <t>СФ Х_04451</t>
  </si>
  <si>
    <t>Возвратный ролик LT106 изготовление</t>
  </si>
  <si>
    <t>H-1096</t>
  </si>
  <si>
    <t>ТИ-00029873</t>
  </si>
  <si>
    <t>Футеровка для возвратного ролика</t>
  </si>
  <si>
    <t>ООО "СДК"</t>
  </si>
  <si>
    <t>маска 1.15</t>
  </si>
  <si>
    <t>Шины Iveco - 4 шт</t>
  </si>
  <si>
    <t>Щитки 1.34.1 - 4шт</t>
  </si>
  <si>
    <t>СВЭ на МБО 200 шт</t>
  </si>
  <si>
    <t>Лента световозвращающая</t>
  </si>
  <si>
    <t>Редуктор щетки МТЗ 82</t>
  </si>
  <si>
    <t>ООО "КОММАШ-КУРГАН"</t>
  </si>
  <si>
    <t>0000-000174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</si>
  <si>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Апрель 2023г.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</si>
  <si>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01.04.2023 г. по 30.04.2023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</si>
  <si>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Апрель 2023г.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</si>
  <si>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01.05.2023 г. по 31.05.2023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</si>
  <si>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t>1</t>
  </si>
  <si>
    <t>Металлическая гофрированная труба d=1,50 м</t>
  </si>
  <si>
    <t>АО Алексинстройконструкция</t>
  </si>
  <si>
    <t>2</t>
  </si>
  <si>
    <t>Гермакрон, Гермокрон-гидро</t>
  </si>
  <si>
    <t>АО Кронос -М</t>
  </si>
  <si>
    <t>3</t>
  </si>
  <si>
    <t>Знаки ВДЗ 2 очередь</t>
  </si>
  <si>
    <t>4</t>
  </si>
  <si>
    <t>Стойки к знакам Чульмакан</t>
  </si>
  <si>
    <t>ООО ЗНК СибДорСервис</t>
  </si>
  <si>
    <t>ЦБ-202</t>
  </si>
  <si>
    <t>5</t>
  </si>
  <si>
    <t>ГСИ Чульмакан</t>
  </si>
  <si>
    <t>ООО МЕАПЛАСТ СИБИРЬ</t>
  </si>
  <si>
    <t>6</t>
  </si>
  <si>
    <t>ГСИ Лапри</t>
  </si>
  <si>
    <t>7</t>
  </si>
  <si>
    <t xml:space="preserve">Редуктора </t>
  </si>
  <si>
    <t>8</t>
  </si>
  <si>
    <t xml:space="preserve">Футеровочный блок по ведомости ДСУ. </t>
  </si>
  <si>
    <t>9</t>
  </si>
  <si>
    <t>Шины CAT 160 H</t>
  </si>
  <si>
    <t>10</t>
  </si>
  <si>
    <t xml:space="preserve">Светофоры автоматические </t>
  </si>
  <si>
    <t>11</t>
  </si>
  <si>
    <t>Флаги + флагштоки 6 м + опоры 3шт</t>
  </si>
  <si>
    <t>12</t>
  </si>
  <si>
    <t>Напольный кондиционер</t>
  </si>
  <si>
    <t>ООО ДНС Ритейл</t>
  </si>
  <si>
    <t>А-00150386</t>
  </si>
  <si>
    <t>13</t>
  </si>
  <si>
    <t xml:space="preserve">Щетки МТЗ/ Камаз 120 </t>
  </si>
  <si>
    <t>14</t>
  </si>
  <si>
    <t xml:space="preserve">Грабли, гладики - 2 шт / 2 шт </t>
  </si>
  <si>
    <t>ООО "Группа Компаний "ЦЕНТР"</t>
  </si>
  <si>
    <t>15</t>
  </si>
  <si>
    <t>Буфер конусный большой - 20 шт</t>
  </si>
  <si>
    <t>16</t>
  </si>
  <si>
    <t>Сигнальные столбики на шайбе - 300 шт</t>
  </si>
  <si>
    <t>17</t>
  </si>
  <si>
    <t xml:space="preserve">ПСП на участок </t>
  </si>
  <si>
    <t>ООО Центр Пирант</t>
  </si>
  <si>
    <t>18</t>
  </si>
  <si>
    <t>Доска на Лапри</t>
  </si>
  <si>
    <t>ИП Кудряшев Р.Е.</t>
  </si>
  <si>
    <t>19</t>
  </si>
  <si>
    <t xml:space="preserve">Доска для участка Чульмакан </t>
  </si>
  <si>
    <t>20</t>
  </si>
  <si>
    <t>Форсунка КДМ 509</t>
  </si>
  <si>
    <t>21</t>
  </si>
  <si>
    <t>ЗЧ Двигатель CAT 160H</t>
  </si>
  <si>
    <t>ООО ОТГ-ДВ</t>
  </si>
  <si>
    <t>О1067</t>
  </si>
  <si>
    <t>22</t>
  </si>
  <si>
    <t>Фильтра CAT 320</t>
  </si>
  <si>
    <t>ООО Восточная техника</t>
  </si>
  <si>
    <t>СН23-018070</t>
  </si>
  <si>
    <t>23</t>
  </si>
  <si>
    <t>Ремни на ротор 16 шт</t>
  </si>
  <si>
    <t xml:space="preserve">N-5455 </t>
  </si>
  <si>
    <t>24</t>
  </si>
  <si>
    <t>Фильтра vag</t>
  </si>
  <si>
    <t>ООО «АВТОМИР-54</t>
  </si>
  <si>
    <t>25</t>
  </si>
  <si>
    <t>Утеплитель стен</t>
  </si>
  <si>
    <t>26</t>
  </si>
  <si>
    <t>Гайковерт MAKITA TW1000</t>
  </si>
  <si>
    <t>ООО «НТС»</t>
  </si>
  <si>
    <t>27</t>
  </si>
  <si>
    <t>Дюбель для утеплителя</t>
  </si>
  <si>
    <t>ИП Игнатьева А.А.</t>
  </si>
  <si>
    <t>28</t>
  </si>
  <si>
    <t>Труба холодный склад</t>
  </si>
  <si>
    <t>ООО МТК " Феррум-ТрансОйл"</t>
  </si>
  <si>
    <t>29</t>
  </si>
  <si>
    <t>Гарантийная замена ДЗ км 415</t>
  </si>
  <si>
    <t>30</t>
  </si>
  <si>
    <t>Маски ВДЗ ФАД (3.24,1.16)</t>
  </si>
  <si>
    <t>31</t>
  </si>
  <si>
    <t>Маски знаков на технику</t>
  </si>
  <si>
    <t>32</t>
  </si>
  <si>
    <t>Подвес</t>
  </si>
  <si>
    <t>ООО "ЛИНАСТРОЙ"</t>
  </si>
  <si>
    <t>33</t>
  </si>
  <si>
    <t>Доска для участка Чульмакан  3м3</t>
  </si>
  <si>
    <t>34</t>
  </si>
  <si>
    <t>Еврокуб 2 шт</t>
  </si>
  <si>
    <t>35</t>
  </si>
  <si>
    <t xml:space="preserve">Спецодежда новые сотрудники                                                                                                                                                                                                                                         </t>
  </si>
  <si>
    <t>ООО "ТЕХНОАВИА-САХА"</t>
  </si>
  <si>
    <t>УТ-7215/УТ-7182</t>
  </si>
  <si>
    <t>36</t>
  </si>
  <si>
    <t>Краска на модуль</t>
  </si>
  <si>
    <t>37</t>
  </si>
  <si>
    <t>Рации на участок</t>
  </si>
  <si>
    <t>ООО РадиоСвязь</t>
  </si>
  <si>
    <t>38</t>
  </si>
  <si>
    <t>Шины трал перед</t>
  </si>
  <si>
    <t>Трибой Ф.В.</t>
  </si>
  <si>
    <t>ВЛТР0005490</t>
  </si>
  <si>
    <t>39</t>
  </si>
  <si>
    <t>Водоналивные барьеры</t>
  </si>
  <si>
    <t>40</t>
  </si>
  <si>
    <t>Фонари,конуса</t>
  </si>
  <si>
    <t>41</t>
  </si>
  <si>
    <t>Форсунки CAT 160</t>
  </si>
  <si>
    <t>42</t>
  </si>
  <si>
    <t>Шина трал прицеп</t>
  </si>
  <si>
    <t>ВЛТР0005659</t>
  </si>
  <si>
    <t>43</t>
  </si>
  <si>
    <t>Коронки + болты sem 636 - 7шт</t>
  </si>
  <si>
    <t>ООО "Техника Дальний Восток"</t>
  </si>
  <si>
    <t>44</t>
  </si>
  <si>
    <t>Доска на базу</t>
  </si>
  <si>
    <t>45</t>
  </si>
  <si>
    <t>ВДЗ Финал</t>
  </si>
  <si>
    <t>46</t>
  </si>
  <si>
    <t>ЗЧ ТО RX350</t>
  </si>
  <si>
    <t>47</t>
  </si>
  <si>
    <t>Нащельники парапетов</t>
  </si>
  <si>
    <t>ООО "ПОЛИМЕР ТЕХНОЛОДЖИ"</t>
  </si>
  <si>
    <t>48</t>
  </si>
  <si>
    <t>Масло гидравлическое для гидромолота</t>
  </si>
  <si>
    <t>СН23-017594</t>
  </si>
  <si>
    <t>49</t>
  </si>
  <si>
    <t>Краска ЯМАЛ</t>
  </si>
  <si>
    <t>ООО "ЦВЕТНОЙ БУЛЬВАР-Н"</t>
  </si>
  <si>
    <t>50</t>
  </si>
  <si>
    <t>Конуса, Солдатики</t>
  </si>
  <si>
    <t>51</t>
  </si>
  <si>
    <t>Кальций хлористый  20 тонн</t>
  </si>
  <si>
    <t>52</t>
  </si>
  <si>
    <t>Доска благоустройство, брус на трал</t>
  </si>
  <si>
    <t>53</t>
  </si>
  <si>
    <t>Фильтра для ТО 300 м.ч CAT 10</t>
  </si>
  <si>
    <t>CH23-018586</t>
  </si>
  <si>
    <t>54</t>
  </si>
  <si>
    <t>Масла для ТО 3000 м.ч CAT 10</t>
  </si>
  <si>
    <t>55</t>
  </si>
  <si>
    <t>Масло трансмиссионое 5х20л для ТО CAT 10</t>
  </si>
  <si>
    <t>56</t>
  </si>
  <si>
    <t>Смазка для гидромолота</t>
  </si>
  <si>
    <t>ЗАО Техсервис Якутия</t>
  </si>
  <si>
    <t>НГ-450</t>
  </si>
  <si>
    <t>57</t>
  </si>
  <si>
    <t>Фильра BOMAG</t>
  </si>
  <si>
    <t>ООО Коррус-техникс</t>
  </si>
  <si>
    <t>1390/1388/1389</t>
  </si>
  <si>
    <t>58</t>
  </si>
  <si>
    <t>Доска на чульмакан</t>
  </si>
  <si>
    <t>59</t>
  </si>
  <si>
    <t>ООО "НеоПартс</t>
  </si>
  <si>
    <t>УТ-493</t>
  </si>
  <si>
    <t>60</t>
  </si>
  <si>
    <t>Фильтра для ТО 3000 м.ч CAT 10 НСК</t>
  </si>
  <si>
    <t>УТ-492</t>
  </si>
  <si>
    <t>61</t>
  </si>
  <si>
    <t>ЦСП</t>
  </si>
  <si>
    <t>62</t>
  </si>
  <si>
    <t>Диск сцепления TLC105</t>
  </si>
  <si>
    <t xml:space="preserve">ООО "Автотрейд-НСК" </t>
  </si>
  <si>
    <t>НС00568651</t>
  </si>
  <si>
    <t>63</t>
  </si>
  <si>
    <t>Радиатор Huilux</t>
  </si>
  <si>
    <t>НМ00592210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</si>
  <si>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МАЙ 2023г.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</si>
  <si>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01.05.2023 г. по 31.05.2023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</si>
  <si>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МАЙ 2023г.</t>
    </r>
    <r>
      <rPr>
        <sz val="11"/>
        <color rgb="FF000000"/>
        <rFont val="Times New Roman"/>
        <family val="1"/>
      </rPr>
      <t xml:space="preserve"> </t>
    </r>
  </si>
  <si>
    <t>Отчет агента-УУ</t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</si>
  <si>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01.06.2023 г. по 30.06.2023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</si>
  <si>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t>КПП на Каток XCMG</t>
  </si>
  <si>
    <t>ТО  АКПП TLC 200</t>
  </si>
  <si>
    <t>MB Sprinter кольцо АБС</t>
  </si>
  <si>
    <t>AА000086</t>
  </si>
  <si>
    <t>Фильтра на 3 ТО CAT 330 D2L</t>
  </si>
  <si>
    <t>УТ-510</t>
  </si>
  <si>
    <t>Фильтра на 4 ТО CAT 320</t>
  </si>
  <si>
    <t>УТ-511</t>
  </si>
  <si>
    <t>Сегментные болты, подушки, манжеты D 275</t>
  </si>
  <si>
    <t>СФ Х_06064</t>
  </si>
  <si>
    <t>Манжеты телеги Komatsu D 275</t>
  </si>
  <si>
    <t>УТ-520</t>
  </si>
  <si>
    <t>Флаг РФ -2 шт Флаг СРС - 2 шт</t>
  </si>
  <si>
    <t>КПП на КДМ 309</t>
  </si>
  <si>
    <t>ЖБИ Колодец</t>
  </si>
  <si>
    <t>ООО "Риверсанд</t>
  </si>
  <si>
    <t>Подшипники и сальники Каток</t>
  </si>
  <si>
    <t>Материалы стен профлист</t>
  </si>
  <si>
    <t>ООО «КОМПАНИЯ МЕТАЛЛ ПРОФИЛЬ ВОСТОК»</t>
  </si>
  <si>
    <t>N0N23009299</t>
  </si>
  <si>
    <t>Коронки cat 330 новый тип + замки - 10шт</t>
  </si>
  <si>
    <t>СФ Х_06533</t>
  </si>
  <si>
    <t>ЗЧ Двигателя КДМ 827</t>
  </si>
  <si>
    <t>0000-000417</t>
  </si>
  <si>
    <t>Фары Hino 300</t>
  </si>
  <si>
    <t>ИП Афанасьев А.В.</t>
  </si>
  <si>
    <t>Бампер Hino 300</t>
  </si>
  <si>
    <t>ООО "СИБТРАКЦЕНТР"</t>
  </si>
  <si>
    <t>Ц0000000738</t>
  </si>
  <si>
    <t>МУФТА-SEM 636</t>
  </si>
  <si>
    <t>Насос гидравлический SEM 636</t>
  </si>
  <si>
    <t>UT-1011</t>
  </si>
  <si>
    <t>Шатуны, маховик, помпа КДМ 827</t>
  </si>
  <si>
    <t>0000-000445</t>
  </si>
  <si>
    <t xml:space="preserve">Лотки водоотводные 11шт </t>
  </si>
  <si>
    <t>ООО «ТС Стандартпарк»</t>
  </si>
  <si>
    <t>РС-1470</t>
  </si>
  <si>
    <t>Топливный сапун CAT 10</t>
  </si>
  <si>
    <t>СН23-022185</t>
  </si>
  <si>
    <t>Топливные фильтра cat 330</t>
  </si>
  <si>
    <t>УТ-573</t>
  </si>
  <si>
    <t>Покрышки  Iveco 051</t>
  </si>
  <si>
    <t>Покрышки  ДЗ 98 6 шт</t>
  </si>
  <si>
    <t>Редуктор передний  MMC L200</t>
  </si>
  <si>
    <t>ООО "Омега Плюс"</t>
  </si>
  <si>
    <t>ОП2332001</t>
  </si>
  <si>
    <t xml:space="preserve">Фильтр гидравлический SEM 636 </t>
  </si>
  <si>
    <t>UT-1020</t>
  </si>
  <si>
    <t>Топливный насос Hyundai H940</t>
  </si>
  <si>
    <t>УТ-615</t>
  </si>
  <si>
    <t>Форсунки Hyundai H940</t>
  </si>
  <si>
    <t>Поверка на д\м ключ.</t>
  </si>
  <si>
    <t>ООО «СК «СЛК»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</si>
  <si>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ИЮНЬ 2023г.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</si>
  <si>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01.06.2023 г. по 30.06.2023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</si>
  <si>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ИЮНЬ 2023г.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</si>
  <si>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01.07.2023 г. по 31.07.2023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</si>
  <si>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t>Труба Ф530</t>
  </si>
  <si>
    <t>ПАО "ЯКУТУГЛЕСТРОЙ"</t>
  </si>
  <si>
    <t xml:space="preserve">Шнек асфальтоукладчик BOMAG </t>
  </si>
  <si>
    <t>Зубья sem 636</t>
  </si>
  <si>
    <t>Коронки CAT 10, 275, pc300 + пальцы</t>
  </si>
  <si>
    <t>СФ Х_07376</t>
  </si>
  <si>
    <t>Дверь левая (каркас / белый цвет)</t>
  </si>
  <si>
    <t>ООО ФОН</t>
  </si>
  <si>
    <t>УТ-107573</t>
  </si>
  <si>
    <t>Фильтра ТО Fortuner , Hilux</t>
  </si>
  <si>
    <t>ООО АВТОМИР 54</t>
  </si>
  <si>
    <t xml:space="preserve">ЗЧ КПП КДМ </t>
  </si>
  <si>
    <t>0000-000595</t>
  </si>
  <si>
    <t xml:space="preserve">Чехол iridium </t>
  </si>
  <si>
    <t>ИП Прытков А.А.</t>
  </si>
  <si>
    <t>Протектор стойки рыхлителя CAT 10</t>
  </si>
  <si>
    <t>СФ Х_08056</t>
  </si>
  <si>
    <t>Масло CAT - 2 бочки</t>
  </si>
  <si>
    <t>Ленты и звезды CAT 329</t>
  </si>
  <si>
    <t>СФ Х_08218</t>
  </si>
  <si>
    <t>Радиаторы холодный склад</t>
  </si>
  <si>
    <t>ООО "Торекс Групп"</t>
  </si>
  <si>
    <t>Тормозные диски,колодки перед  Fortuner</t>
  </si>
  <si>
    <t>Картриджи canon</t>
  </si>
  <si>
    <t>CAT 329 натяжитель гусеницы</t>
  </si>
  <si>
    <t>СФ Х_08323</t>
  </si>
  <si>
    <t xml:space="preserve">Коронки cat 320 новый образец </t>
  </si>
  <si>
    <t>СФ Х_08345</t>
  </si>
  <si>
    <t>Лист оцинкованный 1мм ( Откосы )</t>
  </si>
  <si>
    <t>Козырек холодный склад - 2 шт</t>
  </si>
  <si>
    <t>ООО "АЛМАРТА РУС"</t>
  </si>
  <si>
    <t>Краска для пола в цех</t>
  </si>
  <si>
    <t>Водяная помпа Hyundai H940</t>
  </si>
  <si>
    <t>УТ-742</t>
  </si>
  <si>
    <t xml:space="preserve">Эмако s88c </t>
  </si>
  <si>
    <t xml:space="preserve">ООО НСК ПАРТНЕР </t>
  </si>
  <si>
    <t>ЗЧ КПП КДМ КОЛЬЦО СИНХРОНИЗАТОРА, Муфта</t>
  </si>
  <si>
    <t>УТ-779</t>
  </si>
  <si>
    <t>Лотки Б-6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</si>
  <si>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ИЮЛЬ 2023г.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</si>
  <si>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01.07.2023 г. по 31.07.2023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</si>
  <si>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ИЮЛЬ 2023г.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</si>
  <si>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01.08.2023 г. по 31.08.2023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</si>
  <si>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t>Лабаратория №1</t>
  </si>
  <si>
    <t>ООО "РНПО РУСПРИБОР"</t>
  </si>
  <si>
    <t>РТ-3845</t>
  </si>
  <si>
    <t>Лабаратория №4</t>
  </si>
  <si>
    <t>РТ-3849</t>
  </si>
  <si>
    <t xml:space="preserve">Профлист остаток </t>
  </si>
  <si>
    <t>N0N23014894</t>
  </si>
  <si>
    <t xml:space="preserve">Скобы для габионов </t>
  </si>
  <si>
    <t>Кафельная плитка лабаратория</t>
  </si>
  <si>
    <t>030 000-477380/6894</t>
  </si>
  <si>
    <t>Ж/Б плиты для лотков - 100шт</t>
  </si>
  <si>
    <t>ООО "БСК-17"</t>
  </si>
  <si>
    <t>Шины каток 20.5 - 25</t>
  </si>
  <si>
    <t>ИП Трибой Фёдор Васильевич</t>
  </si>
  <si>
    <t>ВЛТР0010730</t>
  </si>
  <si>
    <t>Подшипник грейдер</t>
  </si>
  <si>
    <t xml:space="preserve">Знаки дорожные ( СерБор) </t>
  </si>
  <si>
    <t>Электро кабель</t>
  </si>
  <si>
    <t>ЗАО Электрокомплектсервис</t>
  </si>
  <si>
    <t>ЭЛЗ-000061900</t>
  </si>
  <si>
    <t>ЗЧ L200 ( подкрылки,Сальник лабовины)</t>
  </si>
  <si>
    <t xml:space="preserve">Флаги 3 шт. </t>
  </si>
  <si>
    <t>Двери технические 1 эт</t>
  </si>
  <si>
    <t>ИП Примаков Вадим Юрьевич</t>
  </si>
  <si>
    <t>Габель, гофра 40d</t>
  </si>
  <si>
    <t>ЭЛ3-000062603</t>
  </si>
  <si>
    <t>Гофра для кабеля d20</t>
  </si>
  <si>
    <t>ЭЛ3-000062699</t>
  </si>
  <si>
    <t xml:space="preserve">Шины + диски Iveco трал (2 шт) </t>
  </si>
  <si>
    <t>ВЛТР0011820</t>
  </si>
  <si>
    <t>N-11839</t>
  </si>
  <si>
    <t xml:space="preserve">Листы на откосы </t>
  </si>
  <si>
    <t>ООО"НМК"</t>
  </si>
  <si>
    <t>Фильтра ТО MB Sprinter</t>
  </si>
  <si>
    <t>ИП Юдин Олег Владимирович</t>
  </si>
  <si>
    <t>AА000137</t>
  </si>
  <si>
    <t>Подшипники ДСУ приводные редуктора</t>
  </si>
  <si>
    <t>Подшипники АБЗ</t>
  </si>
  <si>
    <t>Приборы электроосвещения холодный склад</t>
  </si>
  <si>
    <t>ЭЛ3-000063968</t>
  </si>
  <si>
    <t>Ступичные подшипники MB Sprinter</t>
  </si>
  <si>
    <t>Оборудование для топливного модуля</t>
  </si>
  <si>
    <t>ООО"ОКТАН"</t>
  </si>
  <si>
    <t>РК Цилиндра CAT 330D2L</t>
  </si>
  <si>
    <t>УТ-894</t>
  </si>
  <si>
    <t>Кронштейн поперечины Шевроле нива</t>
  </si>
  <si>
    <t>ИП Астапенко О.А.</t>
  </si>
  <si>
    <t>Баллансир SEM 518 левый</t>
  </si>
  <si>
    <t>ООО ТДВ</t>
  </si>
  <si>
    <t>Подшипники SEM 518</t>
  </si>
  <si>
    <t>Бесшовновная труба (проспект) d 40 - 160 м</t>
  </si>
  <si>
    <t>ООО"Феррум-ТрансОйл"</t>
  </si>
  <si>
    <t>Решетка радиатора ГАЗЕЛЬ</t>
  </si>
  <si>
    <t>ООО "ТД Волга Моторс"</t>
  </si>
  <si>
    <t>ПТ000077103</t>
  </si>
  <si>
    <t>Коронки CAT 10 Komatsu 275 CAT 330 329</t>
  </si>
  <si>
    <t>СФ Х_09923</t>
  </si>
  <si>
    <t>CAT 329 Втулки,пальцы,сальники ковша</t>
  </si>
  <si>
    <t>УТ-837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</si>
  <si>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Август 2023г.</t>
    </r>
    <r>
      <rPr>
        <sz val="11"/>
        <color rgb="FF000000"/>
        <rFont val="Times New Roman"/>
        <family val="1"/>
      </rPr>
      <t xml:space="preserve"> </t>
    </r>
  </si>
  <si>
    <t xml:space="preserve">Отчет агента </t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</si>
  <si>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01.08.2023 г. по 31.08.2023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</si>
  <si>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t>Битум</t>
  </si>
  <si>
    <t>ООО КОНЦЕПТ-ОЙЛ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</si>
  <si>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Август 2023г.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</si>
  <si>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01.09.2023 г. по 30.09.2023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</si>
  <si>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t>Лабаратория №3</t>
  </si>
  <si>
    <t>РТ-3848</t>
  </si>
  <si>
    <t>Двери 2 этаж</t>
  </si>
  <si>
    <t>ООО "ИСТ-ВЕСТ"</t>
  </si>
  <si>
    <t>Стелажи 3,5 / 8,4</t>
  </si>
  <si>
    <t>ИП давиденко И.Б.</t>
  </si>
  <si>
    <t>Решетка HINO 300</t>
  </si>
  <si>
    <t>ИП Квасников Д.А</t>
  </si>
  <si>
    <t>Сальник хвостовика MMC L200</t>
  </si>
  <si>
    <t xml:space="preserve">Струнные сита Metso </t>
  </si>
  <si>
    <t>ООО "БЗПС</t>
  </si>
  <si>
    <t>Ремни ДСУ</t>
  </si>
  <si>
    <t>N-12971</t>
  </si>
  <si>
    <t>Баллансир SEM 518 правый</t>
  </si>
  <si>
    <t>Лестница 6м</t>
  </si>
  <si>
    <t>2308-140900-63980</t>
  </si>
  <si>
    <t>Замок задней двери MB Sprinter</t>
  </si>
  <si>
    <t>AА000158</t>
  </si>
  <si>
    <t>Крестовина карданного вала L200</t>
  </si>
  <si>
    <t xml:space="preserve">Дверь (РСП) </t>
  </si>
  <si>
    <t>СТРИЦКИЙ К.А</t>
  </si>
  <si>
    <t>Подшипники ДСУ f212 - 4шт</t>
  </si>
  <si>
    <t>Фильтра Hilux, Fortuner</t>
  </si>
  <si>
    <t>Ремни ДСУ 7100</t>
  </si>
  <si>
    <t>N-13714</t>
  </si>
  <si>
    <t>ПОДУШКА РАЗДАТКИ L200</t>
  </si>
  <si>
    <t>Панель ГКЛ Диамант отделка стен 2 этаж</t>
  </si>
  <si>
    <t>ООО "Современный Дом Тепла"</t>
  </si>
  <si>
    <t>№ УТ-139</t>
  </si>
  <si>
    <t>РК водяной насос ( Чульмакан)</t>
  </si>
  <si>
    <t>ООО "Насосный Центр"</t>
  </si>
  <si>
    <t>Реле давления рдм-5</t>
  </si>
  <si>
    <t>Резервуары битумные для АБЗ 3х30=90,</t>
  </si>
  <si>
    <t>ООО РигельГрупп</t>
  </si>
  <si>
    <t>Масло моторное</t>
  </si>
  <si>
    <t>ООО ТД "ЮУМК"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</si>
  <si>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Сентябрь 2023г.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</si>
  <si>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01.09.2023 г. по 30.09.2023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</si>
  <si>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Сентябрь 2023г.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</si>
  <si>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01.10.2023 г. по 31.10.2023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</si>
  <si>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t>Производственная мебель ( Столы , стелажи )</t>
  </si>
  <si>
    <t>ИП Антонов Андрей Н</t>
  </si>
  <si>
    <t>Здезды ДСУ</t>
  </si>
  <si>
    <t>ИП Майоров Н.И.</t>
  </si>
  <si>
    <t xml:space="preserve">Шины на АМ по списку </t>
  </si>
  <si>
    <t xml:space="preserve">Лента световозвращающая красная </t>
  </si>
  <si>
    <t xml:space="preserve">Теплоноситель WARME - 2 шт </t>
  </si>
  <si>
    <t>ООО "Атмосфера тепла-НСК"</t>
  </si>
  <si>
    <t xml:space="preserve">Гидроизоляция </t>
  </si>
  <si>
    <t>030 000-477380/3679</t>
  </si>
  <si>
    <t>Стекло Hyndai H940</t>
  </si>
  <si>
    <t>УТ-1028</t>
  </si>
  <si>
    <t>Рулевой цилиндр ДЗ 98</t>
  </si>
  <si>
    <t>ООО «СПЕЦЗАПЧАСТИ»</t>
  </si>
  <si>
    <t>Шины погрузчик CAT 426</t>
  </si>
  <si>
    <t>Форсунка CAT 329</t>
  </si>
  <si>
    <t>ООО"ФОРСВОСТОК"</t>
  </si>
  <si>
    <t>Лабаратория №5</t>
  </si>
  <si>
    <t>РТ-3851</t>
  </si>
  <si>
    <t xml:space="preserve">Лабаратория №2 </t>
  </si>
  <si>
    <t>РТ-3846</t>
  </si>
  <si>
    <t>Уплотнение ворот АЯМ</t>
  </si>
  <si>
    <t>ООО ПК "Входные Системы"</t>
  </si>
  <si>
    <t>Komatsu d275 Плунжера , РК ТНВД</t>
  </si>
  <si>
    <t>ООО "КОМЕК МАШИНЕРИ"</t>
  </si>
  <si>
    <t>УП-26269</t>
  </si>
  <si>
    <t>Крышка роликовая с дугой Hilux</t>
  </si>
  <si>
    <t>ИП Сергеев Евегений Евгеньевич</t>
  </si>
  <si>
    <t>Помпа, распылители Komatsu 275</t>
  </si>
  <si>
    <t>Лента гидроизоляции</t>
  </si>
  <si>
    <t>Распылители KOMATSU D275</t>
  </si>
  <si>
    <t>УТ-1100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</si>
  <si>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Октябрь 2023г.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</si>
  <si>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01.10.2023 г. по 31.10.2023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</si>
  <si>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Октябрь 2023г.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</si>
  <si>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01.11.2023 г. по 30.11.2023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</si>
  <si>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t xml:space="preserve">Колосники, резиновая пружина </t>
  </si>
  <si>
    <t>ООО "ТЕЛЕСТАК"</t>
  </si>
  <si>
    <t>Ежедневники кожанные</t>
  </si>
  <si>
    <t>ООО "ДНА ТРЕЙДИНГ"</t>
  </si>
  <si>
    <t xml:space="preserve">Аппарат для определения содержания битума </t>
  </si>
  <si>
    <t>РТ-5253</t>
  </si>
  <si>
    <t xml:space="preserve">Элементы фасада ( керамогранит ) </t>
  </si>
  <si>
    <t>ООО "ТДК-Сибирь"</t>
  </si>
  <si>
    <t>F0-6155</t>
  </si>
  <si>
    <t>SEM 518 аморт.капота</t>
  </si>
  <si>
    <t>ООО Техника Дальний Восток</t>
  </si>
  <si>
    <t xml:space="preserve">Тормозные накладки tlc300 перед/зад </t>
  </si>
  <si>
    <t>Передние тормозные диски, колодки H1</t>
  </si>
  <si>
    <t>Фильтра Fortuner / Hilux</t>
  </si>
  <si>
    <t>Смеситель АБ смеси с подогревом 30л</t>
  </si>
  <si>
    <t>РТ-5255</t>
  </si>
  <si>
    <t>ЗЧ Чаньлинь ( пальцы / втулки)</t>
  </si>
  <si>
    <t>ООО СПК-ИМПОРТ</t>
  </si>
  <si>
    <t>Кран трехходовой ДУ65</t>
  </si>
  <si>
    <t>ООО ЭНЕРГОАРСЕНАЛ</t>
  </si>
  <si>
    <t>РК гидроцилиндра рукояти cat330 d2l</t>
  </si>
  <si>
    <t>УТ-1128</t>
  </si>
  <si>
    <t>Элементы фасада</t>
  </si>
  <si>
    <t>УТ-247</t>
  </si>
  <si>
    <t>Подшипник usp 318</t>
  </si>
  <si>
    <t xml:space="preserve">Гидромотор привода вибростола Metso </t>
  </si>
  <si>
    <t>ООО Коррус-Техникс</t>
  </si>
  <si>
    <t>Ремни ДСУ - 12 шт</t>
  </si>
  <si>
    <t>N-16599</t>
  </si>
  <si>
    <t>Адаптер коронки</t>
  </si>
  <si>
    <t>СФ Х_13810</t>
  </si>
  <si>
    <t>Битумные фильтра на раздачу АБЗ</t>
  </si>
  <si>
    <t>ООО "ПТСПБ"</t>
  </si>
  <si>
    <t>ЮС00-001788</t>
  </si>
  <si>
    <t xml:space="preserve">Обогреватели теплэко </t>
  </si>
  <si>
    <t>ООО ТД ТерлоЭко</t>
  </si>
  <si>
    <t>T233101299</t>
  </si>
  <si>
    <t xml:space="preserve">ЗЧ ТО АКПП Fortuner </t>
  </si>
  <si>
    <t>ЗЧ ТО АКПП Hilux</t>
  </si>
  <si>
    <t xml:space="preserve">Масло АКПП  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</si>
  <si>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Ноябрь 2023г.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</si>
  <si>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01.11.2023 г. по 30.11.2023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</si>
  <si>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Ноябрь 2023г.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</si>
  <si>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01.12.2023 г. по 31.12.2023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</si>
  <si>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t>Транспортерная лента 38.5 / 650</t>
  </si>
  <si>
    <t>N-17145</t>
  </si>
  <si>
    <t xml:space="preserve">Мягкие окна ( асфальтоукладчик) </t>
  </si>
  <si>
    <t>ИП Шептунов Н.Ю.</t>
  </si>
  <si>
    <t>Лоток для кабеля</t>
  </si>
  <si>
    <t>ЭЛ3-000100045</t>
  </si>
  <si>
    <t>Упаковка ( коробки )</t>
  </si>
  <si>
    <t>ООО «Диксвел»</t>
  </si>
  <si>
    <t xml:space="preserve">Картридж canon </t>
  </si>
  <si>
    <t>ЗЧ Мерседес Спринтер</t>
  </si>
  <si>
    <t>AА000229</t>
  </si>
  <si>
    <t>Тормозной клапан SEM 636</t>
  </si>
  <si>
    <t>Утеплитель для трубопровода АБЗ</t>
  </si>
  <si>
    <t>ООО "Торговый Дом ХОТПАЙП"</t>
  </si>
  <si>
    <t xml:space="preserve">231113-10 </t>
  </si>
  <si>
    <t>Прожектора 14 шт (ООО СТАТУС)</t>
  </si>
  <si>
    <t>ЭЛ3-000101406</t>
  </si>
  <si>
    <t>Шины по заявке</t>
  </si>
  <si>
    <t xml:space="preserve">Ремни ДСУ С6000 </t>
  </si>
  <si>
    <t>N-17591</t>
  </si>
  <si>
    <t xml:space="preserve">Расходные материалы для офиса </t>
  </si>
  <si>
    <t>УТ-61943/Н</t>
  </si>
  <si>
    <t>Коронки cat 10 - 10шт</t>
  </si>
  <si>
    <t>СФ Х_15181</t>
  </si>
  <si>
    <t>ГСМ ДТ Зимнее 10м3</t>
  </si>
  <si>
    <t>АО "Саханефтегазсбыт"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</si>
  <si>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Декабрь 2023г.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</si>
  <si>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01.12.2023 г. по 31.12.2023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</si>
  <si>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Декабрь 2023г.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</si>
  <si>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01.01.2024 г. по 31.01.2024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</si>
  <si>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t>Транспортерная лента 58м</t>
  </si>
  <si>
    <t>N-595</t>
  </si>
  <si>
    <t>Лента Перегружной ленточный конвейер 17м</t>
  </si>
  <si>
    <t xml:space="preserve">N-215 </t>
  </si>
  <si>
    <t>Каток xcmg детали салона</t>
  </si>
  <si>
    <t xml:space="preserve">Дизельное Топливо Арктика </t>
  </si>
  <si>
    <t>ООО "НТПК"</t>
  </si>
  <si>
    <t>Масло Тойота ( Castle )</t>
  </si>
  <si>
    <t>УТН00000077</t>
  </si>
  <si>
    <t>КОМ Iveco 4x4</t>
  </si>
  <si>
    <t xml:space="preserve">Защита бампера Fortuner </t>
  </si>
  <si>
    <t xml:space="preserve">Линолеум технический </t>
  </si>
  <si>
    <t>ООО "Ком-Сиб"</t>
  </si>
  <si>
    <t>ЗЧ Нива ( привода )</t>
  </si>
  <si>
    <t>Дизельное Топливо Зима</t>
  </si>
  <si>
    <t>ЗЧ MB Sprinter ( накладка двери, фильтра )</t>
  </si>
  <si>
    <t>AА000015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</si>
  <si>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Январь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</si>
  <si>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01.01.2024 г. по 31.01.2024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</si>
  <si>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Январь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</si>
  <si>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01.02.2024 г. по 29.02.2024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</si>
  <si>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t>Ролики ДСУ</t>
  </si>
  <si>
    <t>ООО "СИБКОН"</t>
  </si>
  <si>
    <t>Термогигрометр</t>
  </si>
  <si>
    <t>РТ-295</t>
  </si>
  <si>
    <t>Звезды ДСУ , Цепь</t>
  </si>
  <si>
    <t>20,21,22</t>
  </si>
  <si>
    <t xml:space="preserve">Г-образные анкеры (арматура) </t>
  </si>
  <si>
    <t>ООО «АМУРСТАЛЬ»</t>
  </si>
  <si>
    <t xml:space="preserve">Инструмент резки и гибки арматуры </t>
  </si>
  <si>
    <t>2401-100117-11263</t>
  </si>
  <si>
    <t>Амортизаторы капота Fortuner</t>
  </si>
  <si>
    <t>ООО АМКапитал</t>
  </si>
  <si>
    <t>Комплект сит к сезону 2024г SPECO</t>
  </si>
  <si>
    <t>Стулья в кабинет</t>
  </si>
  <si>
    <t>ООО "ИНМАЙРУМ"</t>
  </si>
  <si>
    <t>Changeling 956 Блок управления КПП</t>
  </si>
  <si>
    <t>ООО «ТриумфДеталь»</t>
  </si>
  <si>
    <t>Т62</t>
  </si>
  <si>
    <t xml:space="preserve">Диски трал </t>
  </si>
  <si>
    <t>Шины трал</t>
  </si>
  <si>
    <t>ТРВЛ-000530</t>
  </si>
  <si>
    <t>Оборудование для топливного модуля (колонка)</t>
  </si>
  <si>
    <t>ООО «ДЭФТОН»</t>
  </si>
  <si>
    <t>ОА-12247</t>
  </si>
  <si>
    <t xml:space="preserve">Поддон для анкеров </t>
  </si>
  <si>
    <t>ИП Кузьмин Данил Васильевич</t>
  </si>
  <si>
    <t>Сat 426 зубья ковша заднего</t>
  </si>
  <si>
    <t>СФ Х_01532</t>
  </si>
  <si>
    <t>Насос (водовозка Урал )</t>
  </si>
  <si>
    <t>ООО "Атрис"</t>
  </si>
  <si>
    <t xml:space="preserve">Геодезическое оборудование для грейдера </t>
  </si>
  <si>
    <t>ООО «КОРРУС - Техникс»</t>
  </si>
  <si>
    <t>ПСП на участок ( Щит, 6 огнетушителей)</t>
  </si>
  <si>
    <t>ООО ЦЕНТР Пирант</t>
  </si>
  <si>
    <t>Наличники, добор ( холодный склад )</t>
  </si>
  <si>
    <t xml:space="preserve">ВЖГ на шасси </t>
  </si>
  <si>
    <t>ООО "САВА СЕРВИС"</t>
  </si>
  <si>
    <t>Профиль ГЛК панели</t>
  </si>
  <si>
    <t>ООО Современный ДТ"</t>
  </si>
  <si>
    <t>УТ-55</t>
  </si>
  <si>
    <t>Фильтра ТО TLC 200</t>
  </si>
  <si>
    <t>Аксессуары для геодезическое оборудование</t>
  </si>
  <si>
    <t>ООО «ЕФТ ГРУПП»</t>
  </si>
  <si>
    <t>ДЗ Чульмакан ( 6.17, 1.11, 6.18)</t>
  </si>
  <si>
    <t>ООО СИБДОРСНАБ</t>
  </si>
  <si>
    <t>Модуль управления световые огни КДМ</t>
  </si>
  <si>
    <t xml:space="preserve">Датчики АБС Sprinter </t>
  </si>
  <si>
    <t>AА000029</t>
  </si>
  <si>
    <t>СО Лето/ Зима 2024</t>
  </si>
  <si>
    <t>ООО "ТЕХНОАВИА-СИБИРЬ"</t>
  </si>
  <si>
    <t>УТ-1787,1791,1792,1793,1796,1804,УТ-1794,1800,1811</t>
  </si>
  <si>
    <t>РК ГЦ поъема стрелы CAT 329</t>
  </si>
  <si>
    <t>УТ-144</t>
  </si>
  <si>
    <t>Мобильный кондиционер в операторскую АБЗ</t>
  </si>
  <si>
    <t>ООО ДНС РИТЕЙЛ</t>
  </si>
  <si>
    <t>А-00050576</t>
  </si>
  <si>
    <t>Резина Урал ( бензовоз )</t>
  </si>
  <si>
    <t>Знак солдатик Чульмакан ИГК</t>
  </si>
  <si>
    <t>Крепление форсунки CAT 160H</t>
  </si>
  <si>
    <t>УТ-152</t>
  </si>
  <si>
    <t>Sem 518 зеркало</t>
  </si>
  <si>
    <t>ООО "ГАЗИМПОРТ"</t>
  </si>
  <si>
    <t xml:space="preserve">Детали по ведомости iveco </t>
  </si>
  <si>
    <t>ИП Митровций И.В</t>
  </si>
  <si>
    <t>Амортизатор капота sem 655d</t>
  </si>
  <si>
    <t>№00000001005</t>
  </si>
  <si>
    <t xml:space="preserve">Сat 10 коронки </t>
  </si>
  <si>
    <t>СФ Х_01997</t>
  </si>
  <si>
    <t>Кухня в в помещение гостиницы</t>
  </si>
  <si>
    <t>ИП Туев Максим Анатольевич</t>
  </si>
  <si>
    <t>УТ-171</t>
  </si>
  <si>
    <t>Краска для топливного модуля</t>
  </si>
  <si>
    <t>ИП Козырис ВА</t>
  </si>
  <si>
    <t>РК гидропривода вентилятора CAT10</t>
  </si>
  <si>
    <t>УТ-201</t>
  </si>
  <si>
    <t>Зимняя смазка</t>
  </si>
  <si>
    <t>УТ-168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</si>
  <si>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Февраль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</si>
  <si>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01.02.2024 г. по 29.02.2024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</si>
  <si>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Февраль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</si>
  <si>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01.03.2024 г. по 31.03.2024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</si>
  <si>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t>Подогрев трамбующего бруса 2 шт BOMAG</t>
  </si>
  <si>
    <t>Сегменты шнека на обратку BOMAG</t>
  </si>
  <si>
    <t>Актуатор полного привода MMC L200</t>
  </si>
  <si>
    <t xml:space="preserve">ГЛК 13 шт </t>
  </si>
  <si>
    <t>УТ-19</t>
  </si>
  <si>
    <t xml:space="preserve">ЗЧ АБЗ СПЕКО (Клапана, рекдуктор, лопатки, цепи) </t>
  </si>
  <si>
    <t>№20</t>
  </si>
  <si>
    <t>ЗЧ ДСК ( Брони, Била, футеровки)</t>
  </si>
  <si>
    <t>№21</t>
  </si>
  <si>
    <t>Фильтровальный рукав для АБЗ - Аналог</t>
  </si>
  <si>
    <t>ООО "Системы фильтров"</t>
  </si>
  <si>
    <t>ДЗ Знаки по ведомости</t>
  </si>
  <si>
    <t>Стойки дор.знаков по ведомости</t>
  </si>
  <si>
    <t>Форма ЖБИ 100х100,  Конус Абрамса</t>
  </si>
  <si>
    <t>ООО «СРМ.ИНВЕСТ»</t>
  </si>
  <si>
    <t>SR-1481</t>
  </si>
  <si>
    <t>Колпаки на диски Урал бензовоз</t>
  </si>
  <si>
    <t>ООО АвтоАльянс</t>
  </si>
  <si>
    <t>Б 25491/Н</t>
  </si>
  <si>
    <t>Перфоратор 1500w</t>
  </si>
  <si>
    <t>2402-100120-42094</t>
  </si>
  <si>
    <t>БО по ведомости</t>
  </si>
  <si>
    <t>ООО КДК</t>
  </si>
  <si>
    <t xml:space="preserve">Фильтра Fortuner / Hilux </t>
  </si>
  <si>
    <t>Шлагбаум в сборе 4м</t>
  </si>
  <si>
    <t>ООО "АНВИКС"</t>
  </si>
  <si>
    <t>ЗЧ ходовая Fortuner</t>
  </si>
  <si>
    <t>161196605, 161342015, 161341999</t>
  </si>
  <si>
    <t>Рулевые тяги Fortuner</t>
  </si>
  <si>
    <t>Шнур полиамидный крученый</t>
  </si>
  <si>
    <t>2403-100102-23044</t>
  </si>
  <si>
    <t>Колодки ручника MB Sprinter</t>
  </si>
  <si>
    <t>AА000049</t>
  </si>
  <si>
    <t>Домкрат натяжителя гусеницы zoomlion sd16</t>
  </si>
  <si>
    <t>ООО ВостокСпецЗапчасть</t>
  </si>
  <si>
    <t>УТ-124</t>
  </si>
  <si>
    <t xml:space="preserve">Кровати одноярусные шкафы,тумбы </t>
  </si>
  <si>
    <t>Масляные Фильтра на китайскую технику</t>
  </si>
  <si>
    <t>УТ-234</t>
  </si>
  <si>
    <t>Подшипник,сальник вентилятора CAT 10</t>
  </si>
  <si>
    <t>УТ-237</t>
  </si>
  <si>
    <t>Шкафы,тумбы кровати</t>
  </si>
  <si>
    <t>CAT 10 фара кабины 2 шт</t>
  </si>
  <si>
    <t>Строительные леса</t>
  </si>
  <si>
    <t>ООО "Авантажстрой"</t>
  </si>
  <si>
    <t>ООО «РадиоСвязь»</t>
  </si>
  <si>
    <t>РК натяжителя гуски CAT320</t>
  </si>
  <si>
    <t>УТ-260</t>
  </si>
  <si>
    <t>Кровати двух ярусные в помещение гостиницы</t>
  </si>
  <si>
    <t>Термальное масло 3 шт</t>
  </si>
  <si>
    <t>ООО "ОЙЛГРУПП"</t>
  </si>
  <si>
    <t>OG-30257</t>
  </si>
  <si>
    <t xml:space="preserve">Моноблок </t>
  </si>
  <si>
    <t xml:space="preserve">ООО "ДНС Ритейл" </t>
  </si>
  <si>
    <t>А-00102648</t>
  </si>
  <si>
    <t>МФУ</t>
  </si>
  <si>
    <t>А-00103675</t>
  </si>
  <si>
    <t>Столы, шкафы, тумба</t>
  </si>
  <si>
    <t>Молдинг топливо-заправщик</t>
  </si>
  <si>
    <t>АО "Техсервис-Якутия",</t>
  </si>
  <si>
    <t>НГ-111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</si>
  <si>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Март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</si>
  <si>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01.03.2024 г. по 31.03.2024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</si>
  <si>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Март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</si>
  <si>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01.04.2024 г. по 30.04.2024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</si>
  <si>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t xml:space="preserve">ЖБИ по ведомости </t>
  </si>
  <si>
    <t>ООО ПРОГРЕСС</t>
  </si>
  <si>
    <t>Аксессуары для геодез.об</t>
  </si>
  <si>
    <t>Коронки CAT 320,330,10,PC300</t>
  </si>
  <si>
    <t>СФ Х_02854</t>
  </si>
  <si>
    <t>ИТР СО  Фирменная одежда Жилетки</t>
  </si>
  <si>
    <t>ООО «Стан регион»</t>
  </si>
  <si>
    <t>Расширительный бочок Hino, Зеркала</t>
  </si>
  <si>
    <t>ООО "ЗАПКОМТРАНС"</t>
  </si>
  <si>
    <t>ЗЧ LT 106, РК гидро аккумуляторов METSO</t>
  </si>
  <si>
    <t>Пикап Foton</t>
  </si>
  <si>
    <t>АО Автоцентр КрасГазСервис</t>
  </si>
  <si>
    <t>УП-45625</t>
  </si>
  <si>
    <t xml:space="preserve">Комплектующие к моечному оборудованию </t>
  </si>
  <si>
    <t>ООО "МКТ-ПРОФ"</t>
  </si>
  <si>
    <t xml:space="preserve">Мойка высокого давления </t>
  </si>
  <si>
    <t>ООО «Грассмарт»</t>
  </si>
  <si>
    <t>148124/1</t>
  </si>
  <si>
    <t>Спец.одежда 2-я очередь лето</t>
  </si>
  <si>
    <t>ООО "ТЕХНОАВИА СИБИРЬ"</t>
  </si>
  <si>
    <t>УТ-4029</t>
  </si>
  <si>
    <t>Смазка - 5 уп</t>
  </si>
  <si>
    <t>УТ-305</t>
  </si>
  <si>
    <t>Инструментарий 1-я очередь</t>
  </si>
  <si>
    <t>ООО "НТС"</t>
  </si>
  <si>
    <t>29827/1</t>
  </si>
  <si>
    <t>Фильтр масляный экскаватор SANY - 6шт</t>
  </si>
  <si>
    <t>УТ-316</t>
  </si>
  <si>
    <t>Фильтр на топливный модуль</t>
  </si>
  <si>
    <t>ООО "АЗССнабСервис"</t>
  </si>
  <si>
    <t>Коронки SEM 655</t>
  </si>
  <si>
    <t>Термальное масло 6 шт</t>
  </si>
  <si>
    <t>ООО "ЭНРОН Групп"</t>
  </si>
  <si>
    <t>N-3825</t>
  </si>
  <si>
    <t>Шкафы</t>
  </si>
  <si>
    <t xml:space="preserve">ДГУ 50квт </t>
  </si>
  <si>
    <t>АО "Техсервис-Якутия"</t>
  </si>
  <si>
    <t>КТ-987</t>
  </si>
  <si>
    <t xml:space="preserve">Лента LT106 7.4м в кольцо </t>
  </si>
  <si>
    <t>N-4052</t>
  </si>
  <si>
    <t>Лаборатория №6 финал</t>
  </si>
  <si>
    <t>РТ-6105</t>
  </si>
  <si>
    <t>Оснащение ДСЛ 2 очередь (АБС)</t>
  </si>
  <si>
    <t>ООО «СТРОЙЛАБКОМПЛЕКТ»</t>
  </si>
  <si>
    <t>СЛ000102</t>
  </si>
  <si>
    <t>Жилеты 2 очередь</t>
  </si>
  <si>
    <t>УТ-3821</t>
  </si>
  <si>
    <t>ИТР СО Фирменная одежда</t>
  </si>
  <si>
    <t xml:space="preserve">Бум.Полотенца </t>
  </si>
  <si>
    <t>ООО"Атмосфера чистоты"</t>
  </si>
  <si>
    <t>УТ-15040/Н</t>
  </si>
  <si>
    <t>Рации 13 шт боуфенг</t>
  </si>
  <si>
    <t>Утеплитель в цинке Д25 - 14 м.п</t>
  </si>
  <si>
    <t>240408-16</t>
  </si>
  <si>
    <t>Проблесковый маяк на БОМАГ</t>
  </si>
  <si>
    <t>ИП БОЧКАРЕВ К.Е.</t>
  </si>
  <si>
    <t>Ролик натяжителя cat 329</t>
  </si>
  <si>
    <t>УТ-367</t>
  </si>
  <si>
    <t>Стартер LT106 аналог</t>
  </si>
  <si>
    <t>УТ-377</t>
  </si>
  <si>
    <t>Реле стартера LT106</t>
  </si>
  <si>
    <t>Боковые лампа в бокс</t>
  </si>
  <si>
    <t>ЭЛ3-000024652</t>
  </si>
  <si>
    <t>Масло термальное 3 бочки</t>
  </si>
  <si>
    <t>ООО ОЙЛГРУПП</t>
  </si>
  <si>
    <t>OG-9802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</si>
  <si>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Апрель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</si>
  <si>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01.04.2024 г. по 30.04.2024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</si>
  <si>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Апрель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</si>
  <si>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01.05.2024 г. по 31.05.2024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</si>
  <si>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t>РК ГРМ Fortuner</t>
  </si>
  <si>
    <t>Шины на АМ Iveco</t>
  </si>
  <si>
    <t>Коплектующие лабаратории</t>
  </si>
  <si>
    <t>СЛ000203</t>
  </si>
  <si>
    <t>Резина на погрузчик SEM 655 2 шт</t>
  </si>
  <si>
    <t>Сита АБЗ 22.4</t>
  </si>
  <si>
    <t>ООО"ПРОМЫШЛЕННЫЕ СИТА"</t>
  </si>
  <si>
    <t>Ползуны CAT 160</t>
  </si>
  <si>
    <t>УТ-401</t>
  </si>
  <si>
    <t>Фильтра Sany( Погрузчик, экскаватор)</t>
  </si>
  <si>
    <t>ООО Шанхай Спецтехника</t>
  </si>
  <si>
    <t xml:space="preserve">Картриджи Canon Черный </t>
  </si>
  <si>
    <t>ООО Ситилинк</t>
  </si>
  <si>
    <t>V038629344</t>
  </si>
  <si>
    <t>Реле стартера HP200</t>
  </si>
  <si>
    <t>Контроллер ОВЕН ПЛК-154</t>
  </si>
  <si>
    <t>Редуктора ДСУ, Пружины вибропитатель</t>
  </si>
  <si>
    <t xml:space="preserve">Шины  и камеры sitrak </t>
  </si>
  <si>
    <t>Подшипник UCF208 - 2 шт</t>
  </si>
  <si>
    <t>Подшипники на вибромотор LT106</t>
  </si>
  <si>
    <t xml:space="preserve">Рассада </t>
  </si>
  <si>
    <t>ООО "СППМ"</t>
  </si>
  <si>
    <t>НФ-3305</t>
  </si>
  <si>
    <t xml:space="preserve">Кровати металические </t>
  </si>
  <si>
    <t>Вакуумное масло ВМ-6</t>
  </si>
  <si>
    <t>СЛ000209</t>
  </si>
  <si>
    <t>Фара противотуманная L200</t>
  </si>
  <si>
    <t>ООО "Автотрейд-В"</t>
  </si>
  <si>
    <t>ВВ00160035</t>
  </si>
  <si>
    <t>Ключнича на 40 ключей</t>
  </si>
  <si>
    <t>ООО "МИР"</t>
  </si>
  <si>
    <t>tu-3795</t>
  </si>
  <si>
    <t>Мыло Tork</t>
  </si>
  <si>
    <t>УТ-22771/Н</t>
  </si>
  <si>
    <t>Подшипники АБЗ/ДСУ</t>
  </si>
  <si>
    <t>Пенал для огнетушителя / Ареометр для ДТ</t>
  </si>
  <si>
    <t>Колодки тормозные TLC300</t>
  </si>
  <si>
    <t>Документация на битум</t>
  </si>
  <si>
    <t>ООО "БАЙКАЛЬСКИЙ БИТУМНЫЙ ТЕРМИНАЛ"</t>
  </si>
  <si>
    <t>Фильтра Metso</t>
  </si>
  <si>
    <t>УТ-495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</si>
  <si>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Май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</si>
  <si>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01.05.2024 г. по 31.05.2024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</si>
  <si>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Май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</si>
  <si>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01.06.2024 г. по 30.06.2024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</si>
  <si>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t>Детали ТО TLC105</t>
  </si>
  <si>
    <t>171597930, 171603988</t>
  </si>
  <si>
    <t xml:space="preserve">Дооснащение лаборатории по ведомости </t>
  </si>
  <si>
    <t>СЛ000233</t>
  </si>
  <si>
    <t>Сита</t>
  </si>
  <si>
    <t>СЛ000249</t>
  </si>
  <si>
    <t>Лента LT106 7.60м</t>
  </si>
  <si>
    <t>N-6096</t>
  </si>
  <si>
    <t>Разрешительная документация</t>
  </si>
  <si>
    <t>ООО "ПРОМТЕХСЕРТ</t>
  </si>
  <si>
    <t xml:space="preserve">Смазка </t>
  </si>
  <si>
    <t>УТ-541</t>
  </si>
  <si>
    <t xml:space="preserve">ЗЧ Fortuner Пер.тормозные диски, фильтра </t>
  </si>
  <si>
    <t xml:space="preserve">Детали востановления УРАЛА </t>
  </si>
  <si>
    <t>ООО "АвтоАльянс"</t>
  </si>
  <si>
    <t>Б 78450/Н</t>
  </si>
  <si>
    <t xml:space="preserve">Щетки МТЗ </t>
  </si>
  <si>
    <t>Тензодатчики</t>
  </si>
  <si>
    <t>Армдор 100</t>
  </si>
  <si>
    <t>Поверка ключа</t>
  </si>
  <si>
    <t>СЛ000256</t>
  </si>
  <si>
    <t>Эллемент бампера MB Sprinter</t>
  </si>
  <si>
    <t>AА000090</t>
  </si>
  <si>
    <t xml:space="preserve">Доводчик двери ( проспект ) </t>
  </si>
  <si>
    <t>ООО "Т.Б.М."</t>
  </si>
  <si>
    <t>0008356-0000Z1/3934</t>
  </si>
  <si>
    <t>Катки CAT 330</t>
  </si>
  <si>
    <t>СФ Х_06207</t>
  </si>
  <si>
    <t>Стекло CAT 330</t>
  </si>
  <si>
    <t>УТ-485</t>
  </si>
  <si>
    <t>Электричекий звонок ДСУ</t>
  </si>
  <si>
    <t>ООО "ТД " Электротехмонтаж"</t>
  </si>
  <si>
    <t>604/2422700</t>
  </si>
  <si>
    <t>Картриджи Canon Цветной</t>
  </si>
  <si>
    <t>V038629347</t>
  </si>
  <si>
    <t xml:space="preserve">Автоматический замок (рсп) </t>
  </si>
  <si>
    <t>ООО «ЛЕ МОНЛИД»</t>
  </si>
  <si>
    <t>030 000-477380/3827</t>
  </si>
  <si>
    <t xml:space="preserve">MB Sprinter колпаки,фильтра </t>
  </si>
  <si>
    <t>AА000124</t>
  </si>
  <si>
    <t>Анкерные болты на метеопост</t>
  </si>
  <si>
    <t>ООО "РТС"</t>
  </si>
  <si>
    <t>РТБП-005228</t>
  </si>
  <si>
    <t>УТ-31400/Н</t>
  </si>
  <si>
    <t>Фильра TLC 200, Дворники</t>
  </si>
  <si>
    <t xml:space="preserve">Знаки 3.24 (70)-6шт, 3.24 (50)-6шт, 1.16 </t>
  </si>
  <si>
    <t>Столбики сигнальные с прямым 1000шт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</si>
  <si>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ИЮНЬ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</si>
  <si>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01.06.2024 г. по 30.06.2024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</si>
  <si>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ИЮНЬ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</si>
  <si>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01.07.2024 г. по 31.07.2024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</si>
  <si>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t>Фильтра Foton</t>
  </si>
  <si>
    <t>Акционерное общество "АВТОЦЕНТР КрасГАЗсервис"</t>
  </si>
  <si>
    <t>A11-33399/1911699</t>
  </si>
  <si>
    <t>Шины Урал next - 4 шт</t>
  </si>
  <si>
    <t xml:space="preserve">ООО"ВостокСпецТрейд" </t>
  </si>
  <si>
    <t>211</t>
  </si>
  <si>
    <t>Шины КДМ 509 - 8шт</t>
  </si>
  <si>
    <t>219</t>
  </si>
  <si>
    <t>Зарядное устройство EFT</t>
  </si>
  <si>
    <t>3651</t>
  </si>
  <si>
    <t xml:space="preserve">Реле стартера , Катушка для триммера </t>
  </si>
  <si>
    <t>0207</t>
  </si>
  <si>
    <t>Спецодежда ИТР 2 очередь КЕПКИ</t>
  </si>
  <si>
    <t xml:space="preserve">Спец.одежда ИТР </t>
  </si>
  <si>
    <t xml:space="preserve">Спецодежда ИТР 2 очередь </t>
  </si>
  <si>
    <t>319</t>
  </si>
  <si>
    <t>Знаки 3.13 (4,5) 2 шт 2типоразмер</t>
  </si>
  <si>
    <t>Фибра для бетонов</t>
  </si>
  <si>
    <t>124 000-477380/8555</t>
  </si>
  <si>
    <t>Подшипники UCF 208 ( для Metso LT106)</t>
  </si>
  <si>
    <t>5982</t>
  </si>
  <si>
    <t xml:space="preserve">Смазка высотемпературная </t>
  </si>
  <si>
    <t>ООО Интернет Решения</t>
  </si>
  <si>
    <t>0160777016-0002</t>
  </si>
  <si>
    <t>Знаки 3.20 - 2 шт,1.11.1-1 шт, 6.11.ИЕНГРА 1шт</t>
  </si>
  <si>
    <t>218</t>
  </si>
  <si>
    <t>Мастика МБС для ЖБИ колец</t>
  </si>
  <si>
    <t>ООО "ТРАНСГАЗИЗОЛЯЦИЯ"</t>
  </si>
  <si>
    <t>8581</t>
  </si>
  <si>
    <t xml:space="preserve">Мастика МБС для метеопоста </t>
  </si>
  <si>
    <t>8761</t>
  </si>
  <si>
    <t>Диски швонарезчик</t>
  </si>
  <si>
    <t>2407-100102-52655</t>
  </si>
  <si>
    <t>Шины SEM 655 - 4 шт</t>
  </si>
  <si>
    <t>276</t>
  </si>
  <si>
    <t>Шины МТЗ</t>
  </si>
  <si>
    <t>273</t>
  </si>
  <si>
    <t xml:space="preserve">Шины Ситрак </t>
  </si>
  <si>
    <t>279</t>
  </si>
  <si>
    <t>Щебень 40-70</t>
  </si>
  <si>
    <t>АО "Бамстроймеханизация"</t>
  </si>
  <si>
    <t>507</t>
  </si>
  <si>
    <t>Рабочий тормозной цилиндр  РК L200</t>
  </si>
  <si>
    <t>1107</t>
  </si>
  <si>
    <t>ЗЧ ТО Sany 955</t>
  </si>
  <si>
    <t>6575</t>
  </si>
  <si>
    <t>ЗЧ ТО Sany 330</t>
  </si>
  <si>
    <t>6471</t>
  </si>
  <si>
    <t xml:space="preserve">Карданный вал грейдер SEM </t>
  </si>
  <si>
    <t>ООО Восточная Техника"</t>
  </si>
  <si>
    <t>CH24 021136</t>
  </si>
  <si>
    <t>Анкерные болты</t>
  </si>
  <si>
    <t>РТБП-007106</t>
  </si>
  <si>
    <t>Знаки по заявке</t>
  </si>
  <si>
    <t>240</t>
  </si>
  <si>
    <t>Батарейки на рации</t>
  </si>
  <si>
    <t>781</t>
  </si>
  <si>
    <t>Подшипники на дробилку</t>
  </si>
  <si>
    <t>6228</t>
  </si>
  <si>
    <t xml:space="preserve">Кальций хлористый </t>
  </si>
  <si>
    <t>ООО "СОНИКС"</t>
  </si>
  <si>
    <t>130</t>
  </si>
  <si>
    <t>Колодки HINO</t>
  </si>
  <si>
    <t>1607</t>
  </si>
  <si>
    <t>Шины Ситрак 10 колес 2я очередь</t>
  </si>
  <si>
    <t>310</t>
  </si>
  <si>
    <t>Мастика Т-65 12</t>
  </si>
  <si>
    <t>9650</t>
  </si>
  <si>
    <t xml:space="preserve">Вибратор для бетона </t>
  </si>
  <si>
    <t>ООО "ПИЛА"</t>
  </si>
  <si>
    <t>1967</t>
  </si>
  <si>
    <t>Мост передний Iveco Traker</t>
  </si>
  <si>
    <t>ООО МегаПарт</t>
  </si>
  <si>
    <t>1318</t>
  </si>
  <si>
    <t>Диск сцепления,Выжимной подшипник МТЗ 82</t>
  </si>
  <si>
    <t>ИП Плоткин С.О</t>
  </si>
  <si>
    <t>03682</t>
  </si>
  <si>
    <t>Поверка рейки</t>
  </si>
  <si>
    <t>ТПК СТРОЙЛАБКОМПЛЕКТ</t>
  </si>
  <si>
    <t>СЛ000358</t>
  </si>
  <si>
    <t xml:space="preserve">Моноблок в кабинет секретаря </t>
  </si>
  <si>
    <t>А-0026182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</si>
  <si>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ИЮЛЬ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</si>
  <si>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01.07.2024 г. по 31.07.2024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</si>
  <si>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t xml:space="preserve">Геотекстильное полотно, Георешетка синтетическая перфорированная </t>
  </si>
  <si>
    <t>ООО "МЕАПЛАСТ СИБИРЬ"</t>
  </si>
  <si>
    <t>1073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</si>
  <si>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ИЮЛЬ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</si>
  <si>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01.08.2024 г. по 31.08.2024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</si>
  <si>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t>Пульт от гудронаторной установки</t>
  </si>
  <si>
    <t>ООО ЗДТ РЕГИОН 45</t>
  </si>
  <si>
    <t>103</t>
  </si>
  <si>
    <t>Вискомуфта каток SEM 518</t>
  </si>
  <si>
    <t>ООО  "ПРОТЕХ</t>
  </si>
  <si>
    <t>1858</t>
  </si>
  <si>
    <t>Шины Iveco 168</t>
  </si>
  <si>
    <t>ООО Техсервис-Якутия</t>
  </si>
  <si>
    <t>НГ-697</t>
  </si>
  <si>
    <t>0160777016-0003</t>
  </si>
  <si>
    <t>Привод кондиционера кат 330д2л</t>
  </si>
  <si>
    <t>УТ-728</t>
  </si>
  <si>
    <t>V040072043</t>
  </si>
  <si>
    <t>Т/бумага TORK Т2</t>
  </si>
  <si>
    <t>УТ-40605/Н</t>
  </si>
  <si>
    <t>Краска для бетона</t>
  </si>
  <si>
    <t>012 000-477380/4287</t>
  </si>
  <si>
    <t xml:space="preserve">Шины тягач, тралл </t>
  </si>
  <si>
    <t>НГ-730</t>
  </si>
  <si>
    <t>Распорная плита, Ударный блок .Большая Щековая</t>
  </si>
  <si>
    <t>ИП Степаненко А. В.</t>
  </si>
  <si>
    <t>649</t>
  </si>
  <si>
    <t>105</t>
  </si>
  <si>
    <t xml:space="preserve">Знаки по схеме объезда </t>
  </si>
  <si>
    <t>239</t>
  </si>
  <si>
    <t>Мухобойка,ветровики H1,ролик, фильра</t>
  </si>
  <si>
    <t xml:space="preserve">ООО АМКапитал </t>
  </si>
  <si>
    <t>177121255</t>
  </si>
  <si>
    <t>Фильтра ТО Fortuner</t>
  </si>
  <si>
    <t>ООО АМкапитал</t>
  </si>
  <si>
    <t>179539324</t>
  </si>
  <si>
    <t>ЗЧ Мерседес спринтер</t>
  </si>
  <si>
    <t>AА000151</t>
  </si>
  <si>
    <t>Детали восстановления H1</t>
  </si>
  <si>
    <t>179568649</t>
  </si>
  <si>
    <t xml:space="preserve">Шины трал ( красный ) </t>
  </si>
  <si>
    <t>293</t>
  </si>
  <si>
    <t>Крышка зеркала TLC200</t>
  </si>
  <si>
    <t>174906173</t>
  </si>
  <si>
    <t>ЗЧ ТО Hilux</t>
  </si>
  <si>
    <t>179539651</t>
  </si>
  <si>
    <t>Амортизаторы TLC105 зад</t>
  </si>
  <si>
    <t>ООО "ГЛАВПАРА"</t>
  </si>
  <si>
    <t>1328</t>
  </si>
  <si>
    <t>Металл с нарезкой 16мм</t>
  </si>
  <si>
    <t>1149</t>
  </si>
  <si>
    <t>РДУ с поверкой , Курвиметр - 2шт</t>
  </si>
  <si>
    <t>ООО ИЦ "ПРОФФТЕСТ"</t>
  </si>
  <si>
    <t>УУ-239</t>
  </si>
  <si>
    <t>Фонарь</t>
  </si>
  <si>
    <t>180927425</t>
  </si>
  <si>
    <t xml:space="preserve">Гидроцилиндр подъема отвала </t>
  </si>
  <si>
    <t>0000-001519</t>
  </si>
  <si>
    <t>Масло CASTLE ( TOYOTA)</t>
  </si>
  <si>
    <t>УТН00001959</t>
  </si>
  <si>
    <t>ЗЧ Мерседес спринтер вторая очередь</t>
  </si>
  <si>
    <t>AА000157</t>
  </si>
  <si>
    <t>Цепи, звезды</t>
  </si>
  <si>
    <t>ИП Тимурханов Р.Н.</t>
  </si>
  <si>
    <t>701</t>
  </si>
  <si>
    <t>ЗЧ ходовая hilux</t>
  </si>
  <si>
    <t>179539647</t>
  </si>
  <si>
    <t>Камеры на SEM 655</t>
  </si>
  <si>
    <t>1308</t>
  </si>
  <si>
    <t>Ленивец CAT 329</t>
  </si>
  <si>
    <t>СФ Х_08990</t>
  </si>
  <si>
    <t>ЗЧ КПП Iveco</t>
  </si>
  <si>
    <t>ИП Митровций И.В.</t>
  </si>
  <si>
    <t>327</t>
  </si>
  <si>
    <t>Шины SEM655 - 4 шт</t>
  </si>
  <si>
    <t>НГ-765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</si>
  <si>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АВГУСТ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</si>
  <si>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01.08.2024 г. по 31.08.2024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</si>
  <si>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АВГУСТ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</si>
  <si>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01.09.2024 г. по 31.09.2024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</si>
  <si>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t>Пульт КДМ</t>
  </si>
  <si>
    <t>0000-001150</t>
  </si>
  <si>
    <t>Сигнальные столбики  ФАД 313-342км</t>
  </si>
  <si>
    <t>Диски швонарезчик 5 шт</t>
  </si>
  <si>
    <t>2408-140900-46717</t>
  </si>
  <si>
    <t xml:space="preserve">Трос для лебодок </t>
  </si>
  <si>
    <t>ООО "Экстрим Сибирь"</t>
  </si>
  <si>
    <t>006438</t>
  </si>
  <si>
    <t>Стекло заднее Sany 955</t>
  </si>
  <si>
    <t>6541</t>
  </si>
  <si>
    <t>Информациооный щит  ГК13-24</t>
  </si>
  <si>
    <t>260</t>
  </si>
  <si>
    <t>Цепь, скребки, валы</t>
  </si>
  <si>
    <t>0000-001524</t>
  </si>
  <si>
    <t>Гидроцилиндр подъема отвала</t>
  </si>
  <si>
    <t>ЗЧ КПП КДМ</t>
  </si>
  <si>
    <t>354</t>
  </si>
  <si>
    <t>Диск сцепления TLC 105</t>
  </si>
  <si>
    <t>184478142</t>
  </si>
  <si>
    <t>Эл.двигатель на дробилку</t>
  </si>
  <si>
    <t>3546</t>
  </si>
  <si>
    <t>Фильтра для ТО TLC200</t>
  </si>
  <si>
    <t>184477923</t>
  </si>
  <si>
    <t>Подшипники, сальники ДСУ</t>
  </si>
  <si>
    <t>8009</t>
  </si>
  <si>
    <t>Вехи сигнальные 300шт</t>
  </si>
  <si>
    <t>314</t>
  </si>
  <si>
    <t>Ремни на грохот</t>
  </si>
  <si>
    <t>N-12678</t>
  </si>
  <si>
    <t>Таблички ЩЕБЕНЬ</t>
  </si>
  <si>
    <t>ИП Егоров В. М</t>
  </si>
  <si>
    <t xml:space="preserve">ИП0614 </t>
  </si>
  <si>
    <t xml:space="preserve">Подносы </t>
  </si>
  <si>
    <t>ТПК «СТРОЙЛАБКОМПЛЕКТ»</t>
  </si>
  <si>
    <t>СЛ00043</t>
  </si>
  <si>
    <t xml:space="preserve">ТО TLC300 </t>
  </si>
  <si>
    <t>186075292</t>
  </si>
  <si>
    <t>Толивный фильтр TLC300</t>
  </si>
  <si>
    <t>1609</t>
  </si>
  <si>
    <t>Ветошь</t>
  </si>
  <si>
    <t>1020</t>
  </si>
  <si>
    <t>Резина + камера МТЗ</t>
  </si>
  <si>
    <t>ООО "Новосиб-Шина"</t>
  </si>
  <si>
    <t>УТ-2578</t>
  </si>
  <si>
    <t>Приточный вентилятор</t>
  </si>
  <si>
    <t>ООО НЕВАТОМ СИБИРЬ</t>
  </si>
  <si>
    <t>ДС00-059542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</si>
  <si>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СЕНТЯБРЬ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</si>
  <si>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01.09.2024 г. по 31.09.2024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</si>
  <si>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СЕНТЯБРЬ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</si>
  <si>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01.10.2024 г. по 31.10.2024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</si>
  <si>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t xml:space="preserve">ЗЧ на малую щековую дробилку </t>
  </si>
  <si>
    <t>878</t>
  </si>
  <si>
    <t>Информационный щит ГК13-24 №2</t>
  </si>
  <si>
    <t>331</t>
  </si>
  <si>
    <t>Знаки 8.2.1</t>
  </si>
  <si>
    <t>332</t>
  </si>
  <si>
    <t>Знак 6.11 р. Ороченка</t>
  </si>
  <si>
    <t xml:space="preserve">Фильтра Hilux </t>
  </si>
  <si>
    <t>187083881</t>
  </si>
  <si>
    <t>Фильтра/ Т.Диски Fortuner</t>
  </si>
  <si>
    <t>187083352</t>
  </si>
  <si>
    <t xml:space="preserve">Цилиндры сцепления TLC 105 </t>
  </si>
  <si>
    <t>187075041</t>
  </si>
  <si>
    <t>Tork Бум.Полотенца</t>
  </si>
  <si>
    <t>УТ-52645/Н</t>
  </si>
  <si>
    <t>Коронка на керноотборник</t>
  </si>
  <si>
    <t>ООО "МЗ "ТЕХКОМ"</t>
  </si>
  <si>
    <t>4328</t>
  </si>
  <si>
    <t>Ножи КДМ</t>
  </si>
  <si>
    <t>ООО "Сиббарьер ТД ПК"</t>
  </si>
  <si>
    <t>509</t>
  </si>
  <si>
    <t>Кольца на форсунки</t>
  </si>
  <si>
    <t>УТ-951</t>
  </si>
  <si>
    <t>Сопло КЕДР</t>
  </si>
  <si>
    <t>ООО "Авангард Трейд"</t>
  </si>
  <si>
    <t>АТЦБ-76355</t>
  </si>
  <si>
    <t>Лобовое стекло и тормозной вал Sitrak №431</t>
  </si>
  <si>
    <t>ООО "ФСМ-РУСИМПОРТ"</t>
  </si>
  <si>
    <t>Форсунка Metso LT106</t>
  </si>
  <si>
    <t>1049</t>
  </si>
  <si>
    <t>Сальники ступицы, колодки, патрубок Canter</t>
  </si>
  <si>
    <t>ИП Климов Н.А.</t>
  </si>
  <si>
    <t>107</t>
  </si>
  <si>
    <t>Диск сцепления L200</t>
  </si>
  <si>
    <t>190777040</t>
  </si>
  <si>
    <t>Боковые ножи CAT 10</t>
  </si>
  <si>
    <t>СФ Х_11627</t>
  </si>
  <si>
    <t>Ремонт форсунки Cat С9</t>
  </si>
  <si>
    <t>2910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</si>
  <si>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ОКТЯБРЬ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</si>
  <si>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01.10.2024 г. по 31.10.2024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</si>
  <si>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ОКТЯБРЬ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</si>
  <si>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01.11.2024 г. по 30.11.2024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</si>
  <si>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t>ЗЧ Двери Mersedes Sprinter</t>
  </si>
  <si>
    <t>AА000247</t>
  </si>
  <si>
    <t>Лента конвеера готовой продукции  31 мп</t>
  </si>
  <si>
    <t>N-14638, N-14640</t>
  </si>
  <si>
    <t>Стекло двери правой каток Bomag</t>
  </si>
  <si>
    <t>ООО "МСБ-ЭКСПРЕСС"</t>
  </si>
  <si>
    <t>1294</t>
  </si>
  <si>
    <t>Сальники ступицы MMC Canter</t>
  </si>
  <si>
    <t>111</t>
  </si>
  <si>
    <t>Подшипник MMC Canter</t>
  </si>
  <si>
    <t>ЗЧ Hyundai H1</t>
  </si>
  <si>
    <t>191325069</t>
  </si>
  <si>
    <t>АО Автоцентр КрасГАЗсервис"</t>
  </si>
  <si>
    <t>УП-201593</t>
  </si>
  <si>
    <t>Натяжитесь CAT 329D</t>
  </si>
  <si>
    <t>СФ Х_11980</t>
  </si>
  <si>
    <t>СФ Х_11981</t>
  </si>
  <si>
    <t xml:space="preserve">Светодиодные лампы на знаки </t>
  </si>
  <si>
    <t>ООО "ИО ТЕХНОЛОДЖИ"</t>
  </si>
  <si>
    <t xml:space="preserve">1416 </t>
  </si>
  <si>
    <t>Амортизатор передний MB Sprinter</t>
  </si>
  <si>
    <t>AА000257</t>
  </si>
  <si>
    <t>Форсунки Cat С9 вторая очередь</t>
  </si>
  <si>
    <t>0611</t>
  </si>
  <si>
    <t>Гидрораспределитель МТЗ-82</t>
  </si>
  <si>
    <t>ИП  Плоткин С.О</t>
  </si>
  <si>
    <t>04323</t>
  </si>
  <si>
    <t xml:space="preserve">Жилеты сигнальные </t>
  </si>
  <si>
    <t>УТ-18148</t>
  </si>
  <si>
    <t xml:space="preserve">Ежедневники </t>
  </si>
  <si>
    <t>384607</t>
  </si>
  <si>
    <t>Вал с нятжителем КДМ 509</t>
  </si>
  <si>
    <t>0000-002007</t>
  </si>
  <si>
    <t>Пороги TLC300</t>
  </si>
  <si>
    <t>ИП Локотунин В.В.</t>
  </si>
  <si>
    <t>599</t>
  </si>
  <si>
    <t>Ремонт форсунок Iveco</t>
  </si>
  <si>
    <t>1811</t>
  </si>
  <si>
    <t xml:space="preserve">Эндоскоп </t>
  </si>
  <si>
    <t>1911</t>
  </si>
  <si>
    <t>Забурник 150 мм</t>
  </si>
  <si>
    <t>ТИ-00082871</t>
  </si>
  <si>
    <t xml:space="preserve">ЗЧ BRP </t>
  </si>
  <si>
    <t>2211</t>
  </si>
  <si>
    <t>Мыло TORK</t>
  </si>
  <si>
    <t xml:space="preserve">ООО  "Атмосфера чистоты" </t>
  </si>
  <si>
    <t>УТ-64316/Н</t>
  </si>
  <si>
    <t>Насос DARK 52 КДМ 827</t>
  </si>
  <si>
    <t>977</t>
  </si>
  <si>
    <t>ДАТЧИК ПОЛОЖЕНИЯ BRP</t>
  </si>
  <si>
    <t>2711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</si>
  <si>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НОЯБРЬ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</si>
  <si>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01.11.2024 г. по 30.11.2024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</si>
  <si>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t>Насос DARK 52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</si>
  <si>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НОЯБРЬ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</si>
  <si>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01.12.2024 г. по 31.12.2024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</si>
  <si>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t>Фильтра MB sprinter</t>
  </si>
  <si>
    <t>AА000271</t>
  </si>
  <si>
    <t>Направляющая Metso LT106</t>
  </si>
  <si>
    <t>ООО «КОРРУС - Техникс»,</t>
  </si>
  <si>
    <t>2579</t>
  </si>
  <si>
    <t>Зубья SEM 655</t>
  </si>
  <si>
    <t>ООО ПРОТЕХ</t>
  </si>
  <si>
    <t>4216</t>
  </si>
  <si>
    <t>РК ГЦ стрелы cat 329</t>
  </si>
  <si>
    <t>528</t>
  </si>
  <si>
    <t>Ножи CAT/SEM/ДЗ по 1 компл</t>
  </si>
  <si>
    <t>515</t>
  </si>
  <si>
    <t>Втулки на гидромолот</t>
  </si>
  <si>
    <t>ООО "Профессионал"</t>
  </si>
  <si>
    <t>139581</t>
  </si>
  <si>
    <t>Стойка рыхлителя cat 10</t>
  </si>
  <si>
    <t>156534</t>
  </si>
  <si>
    <t>ЗЧ BRP Стекло ветровое</t>
  </si>
  <si>
    <t>ИП Бобин С.Г.</t>
  </si>
  <si>
    <t>ИПБ0000559</t>
  </si>
  <si>
    <t>Подарки НГ Офис</t>
  </si>
  <si>
    <t>ООО "АШАН"</t>
  </si>
  <si>
    <t>29/11/2024/b2b/716-1</t>
  </si>
  <si>
    <t>Подарки НГ Компании</t>
  </si>
  <si>
    <t>29/11/2024/b2b/716-2</t>
  </si>
  <si>
    <t>Насос DARK 52 КДМ 390</t>
  </si>
  <si>
    <t>0000-002416</t>
  </si>
  <si>
    <t>Крестовина кардана L200</t>
  </si>
  <si>
    <t>2911</t>
  </si>
  <si>
    <t>Гидроцилиндр горизонтального смещения SEM</t>
  </si>
  <si>
    <t>4288</t>
  </si>
  <si>
    <t>Шестерня МТЗ ведущая моста</t>
  </si>
  <si>
    <t>0412</t>
  </si>
  <si>
    <t>Шины CAT 160H</t>
  </si>
  <si>
    <t>596</t>
  </si>
  <si>
    <t>Фара Iveco №169</t>
  </si>
  <si>
    <t>516</t>
  </si>
  <si>
    <t xml:space="preserve">Комплект Боковых Зеркал Для Ski Doo </t>
  </si>
  <si>
    <t>0512</t>
  </si>
  <si>
    <t>Цилиндр среднего отвала КДМ 509</t>
  </si>
  <si>
    <t>0000-002496</t>
  </si>
  <si>
    <t>Елочные игрушки</t>
  </si>
  <si>
    <t>1212</t>
  </si>
  <si>
    <t>Датчики ABS MB Sprinter</t>
  </si>
  <si>
    <t>AА000284</t>
  </si>
  <si>
    <t>ЗЧ MB Sprinter</t>
  </si>
  <si>
    <t>AА000286</t>
  </si>
  <si>
    <t>Фонари BRP</t>
  </si>
  <si>
    <t>1312</t>
  </si>
  <si>
    <t>ЗЧ ТО TLC Camry</t>
  </si>
  <si>
    <t xml:space="preserve">197062622 </t>
  </si>
  <si>
    <t>ЗЧ ТО TLC 105</t>
  </si>
  <si>
    <t>197063867</t>
  </si>
  <si>
    <t>ЗЧ востанавление Sitrak №431</t>
  </si>
  <si>
    <t>ИП Митровций Иван Васильевич</t>
  </si>
  <si>
    <t>530</t>
  </si>
  <si>
    <t>Каркас двери со стеклом Sitrak №431</t>
  </si>
  <si>
    <t>6015</t>
  </si>
  <si>
    <t>Форсунки CAT 329</t>
  </si>
  <si>
    <t>1612</t>
  </si>
  <si>
    <t>Доводчик двери ( Проспект)</t>
  </si>
  <si>
    <t>ООО "Т.Б.М.</t>
  </si>
  <si>
    <t>0026399-0000Z1/3934</t>
  </si>
  <si>
    <t>Тент УАЗ</t>
  </si>
  <si>
    <t>ООО "УАЗ-СПЕЦКОМПЛЕКТ",</t>
  </si>
  <si>
    <t>6273</t>
  </si>
  <si>
    <t>Форсуки CAT C7</t>
  </si>
  <si>
    <t>2612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</si>
  <si>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ДЕКАБРЬ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</si>
  <si>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01.12.2024 г. по 31.12.2024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</si>
  <si>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ДЕКАБРЬ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</si>
  <si>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01.12.2024 г. по 31.12.2024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</si>
  <si>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t>Фильтра Hilux / Fortuner</t>
  </si>
  <si>
    <t>196035942</t>
  </si>
  <si>
    <t>Клапан SEM 922</t>
  </si>
  <si>
    <t>4866</t>
  </si>
  <si>
    <t>Ремень вариатора BRP 417 300 391</t>
  </si>
  <si>
    <t>1001</t>
  </si>
  <si>
    <t>Заглушки стоек ДЗ</t>
  </si>
  <si>
    <t xml:space="preserve">Сигнальная лента к-б </t>
  </si>
  <si>
    <t>1101</t>
  </si>
  <si>
    <t>Сигнал заднего хода SEM 655</t>
  </si>
  <si>
    <t>1301</t>
  </si>
  <si>
    <t>Радиатор охлаждения двигателя l200</t>
  </si>
  <si>
    <t>199584754</t>
  </si>
  <si>
    <t>ЗЧ Fortuner ролики, натяжитель</t>
  </si>
  <si>
    <t xml:space="preserve">199589091 </t>
  </si>
  <si>
    <t>Датчик гидромотора SEM 922</t>
  </si>
  <si>
    <t>162</t>
  </si>
  <si>
    <t>2101</t>
  </si>
  <si>
    <t xml:space="preserve">Картриджи Canon </t>
  </si>
  <si>
    <t>8347110</t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</si>
  <si>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ДЕКАБРЬ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</si>
  <si>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01.12.2024 г. по 31.12.2024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</si>
  <si>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Сумма вознаграждения согласно п. 4.2. агентского договора № 1-21 от «28» мая 2021 г. </t>
    </r>
    <r>
      <rPr>
        <b/>
        <sz val="11"/>
        <color rgb="FF000000"/>
        <rFont val="Times New Roman"/>
        <family val="1"/>
      </rPr>
      <t>за ДЕКАБРЬ 2024г.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</si>
  <si>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01.02.2025 г. по 28.02.2025</t>
    </r>
    <r>
      <rPr>
        <sz val="11"/>
        <color rgb="FF000000"/>
        <rFont val="Times New Roman"/>
        <family val="1"/>
      </rPr>
      <t xml:space="preserve"> г. произведен закуп ТМЦ:
</t>
    </r>
  </si>
  <si>
    <t>Насос битумный для гудронатора</t>
  </si>
  <si>
    <t>0000-000002</t>
  </si>
  <si>
    <t>Сопло под битум 3,2мм для гудронатора</t>
  </si>
  <si>
    <t>0000-000016</t>
  </si>
  <si>
    <t>Жилеты сигнальные</t>
  </si>
  <si>
    <t>УТ-1320</t>
  </si>
  <si>
    <t>Столки сигнальные на шайбе</t>
  </si>
  <si>
    <t>11003</t>
  </si>
  <si>
    <t>Столки сигнальные на шайбе 100шт</t>
  </si>
  <si>
    <t>12301</t>
  </si>
  <si>
    <t>Аппарат для сварки геомембраны</t>
  </si>
  <si>
    <t>ИП Бондаренко Д.В</t>
  </si>
  <si>
    <t>66</t>
  </si>
  <si>
    <t>Медный радиотор камаз №827</t>
  </si>
  <si>
    <t>Б 12630/Н</t>
  </si>
  <si>
    <t xml:space="preserve">Прокладки SEM 636 </t>
  </si>
  <si>
    <t>463</t>
  </si>
  <si>
    <t>Труба ПЭ 100 SDR 17</t>
  </si>
  <si>
    <t>ООО ПО "Трубное Решение-Хабаровск"</t>
  </si>
  <si>
    <t>ТРДВ-ХСЕ119710</t>
  </si>
  <si>
    <t>Труба 40х3,5</t>
  </si>
  <si>
    <t>ТРДВ-ХСЕ120084</t>
  </si>
  <si>
    <t>Утеплитель ПЕНОПЛЭКС ГЕО</t>
  </si>
  <si>
    <t>ООО "РИКОЛЬ"</t>
  </si>
  <si>
    <t>ЦБ-142</t>
  </si>
  <si>
    <t>Емкость для воды 1000л</t>
  </si>
  <si>
    <t>ООО "Хаббл"</t>
  </si>
  <si>
    <t xml:space="preserve">Фильтр насоса </t>
  </si>
  <si>
    <t>АО ТД "Славянский"</t>
  </si>
  <si>
    <t>УТ-375</t>
  </si>
  <si>
    <t>Расходники для офиса</t>
  </si>
  <si>
    <t>УТ-10550/Н</t>
  </si>
  <si>
    <t>Сцепление и выжимной HINO</t>
  </si>
  <si>
    <t>ООО «Динамика-Групп»</t>
  </si>
  <si>
    <t xml:space="preserve">Сумма вознаграждения согласно п. 4.2. агентского договора № 1-21 от «28» мая 2021 г. за ФЕВРАЛЬ 2025г. </t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</si>
  <si>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01.02.2025 г. по 28.02.2025</t>
    </r>
    <r>
      <rPr>
        <sz val="11"/>
        <color rgb="FF000000"/>
        <rFont val="Times New Roman"/>
        <family val="1"/>
      </rPr>
      <t xml:space="preserve"> г. произведен закуп ТМЦ:
</t>
    </r>
  </si>
  <si>
    <t xml:space="preserve">                                                              К агентскому договору № 1-21 от «28» мая 2021 г.</t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</si>
  <si>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01.03.2025 г. по 31.03.2025</t>
    </r>
    <r>
      <rPr>
        <sz val="11"/>
        <color rgb="FF000000"/>
        <rFont val="Times New Roman"/>
        <family val="1"/>
      </rPr>
      <t xml:space="preserve"> г. произведен закуп ТМЦ:
</t>
    </r>
  </si>
  <si>
    <t>Шины CAT 426</t>
  </si>
  <si>
    <t>ООО "ВостокСпецТрейд",</t>
  </si>
  <si>
    <t>79</t>
  </si>
  <si>
    <t>Подножка правая КДМ 509</t>
  </si>
  <si>
    <t>0000-000411</t>
  </si>
  <si>
    <t>То на L 200 : 2 комплекта.подшибник задней полуоси левый</t>
  </si>
  <si>
    <t>203404721</t>
  </si>
  <si>
    <t>ЗЧ Hyndai H1</t>
  </si>
  <si>
    <t>203403605</t>
  </si>
  <si>
    <t xml:space="preserve">ЗЧ Fortuner </t>
  </si>
  <si>
    <t>204413743</t>
  </si>
  <si>
    <t>ЗЧ Восстановление Sitrak №431</t>
  </si>
  <si>
    <t>101</t>
  </si>
  <si>
    <t>Замки двери ( Проспект )</t>
  </si>
  <si>
    <t>ООО "Ист-Вест"</t>
  </si>
  <si>
    <t>147</t>
  </si>
  <si>
    <t>205988397</t>
  </si>
  <si>
    <t>Прокладки CAT 426</t>
  </si>
  <si>
    <t>УТ-250</t>
  </si>
  <si>
    <t>Турбина CAT 426</t>
  </si>
  <si>
    <t>УТ-259</t>
  </si>
  <si>
    <t>УТ-276</t>
  </si>
  <si>
    <t>Колодки Toyota C</t>
  </si>
  <si>
    <t>207075286</t>
  </si>
  <si>
    <t>Дверь ВАЗ 2123 NIVA Travel</t>
  </si>
  <si>
    <t>ИП Плоткин С.О.</t>
  </si>
  <si>
    <t>04806</t>
  </si>
  <si>
    <t xml:space="preserve">Сумма вознаграждения согласно п. 4.2. агентского договора № 1-21 от «28» мая 2021 г. за МАРТ 2025г. </t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</si>
  <si>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01.03.2025 г. по 31.03.2025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</si>
  <si>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01.04.2025 г. по 30.04.2025</t>
    </r>
    <r>
      <rPr>
        <sz val="11"/>
        <color rgb="FF000000"/>
        <rFont val="Times New Roman"/>
        <family val="1"/>
      </rPr>
      <t xml:space="preserve"> г. произведен закуп ТМЦ:
</t>
    </r>
  </si>
  <si>
    <t>ЗЧ ТО TLC 200</t>
  </si>
  <si>
    <t>207808779</t>
  </si>
  <si>
    <t>Комплект коронок  SEM 922 2компл</t>
  </si>
  <si>
    <t>4567</t>
  </si>
  <si>
    <t>Датчик АБС Hilux</t>
  </si>
  <si>
    <t>207809084</t>
  </si>
  <si>
    <t>Колодки MB Sprinter</t>
  </si>
  <si>
    <t>AА000042</t>
  </si>
  <si>
    <t>Геомембрана,георешетка,габионы,геотекстиль</t>
  </si>
  <si>
    <t>ООО "Геонор"</t>
  </si>
  <si>
    <t>36072</t>
  </si>
  <si>
    <t>Анкера Г и П</t>
  </si>
  <si>
    <t>37841</t>
  </si>
  <si>
    <t>Правый подкрылок Sitrak</t>
  </si>
  <si>
    <t>ООО "ФСМ-РУСИМПОРТ</t>
  </si>
  <si>
    <t>Bosch Реле стартера 0332002256</t>
  </si>
  <si>
    <t>0304</t>
  </si>
  <si>
    <t>РК ГЦ ковша CAT 320</t>
  </si>
  <si>
    <t>УТ-345</t>
  </si>
  <si>
    <t xml:space="preserve">Ленивец CAT 330 </t>
  </si>
  <si>
    <t>СФ Х_03953</t>
  </si>
  <si>
    <t xml:space="preserve">Sem 655 тормозной диск </t>
  </si>
  <si>
    <t>ИП Рыкова О.А.</t>
  </si>
  <si>
    <t>124</t>
  </si>
  <si>
    <t>Защита глушителя Sitrak</t>
  </si>
  <si>
    <t>ИП Яланжи В.И.</t>
  </si>
  <si>
    <t>261</t>
  </si>
  <si>
    <t>Комплект коронок SEM 636 и 655
"</t>
  </si>
  <si>
    <t>2225</t>
  </si>
  <si>
    <t>Коллектор MMC L200</t>
  </si>
  <si>
    <t>ИП Воронина Ю.А.</t>
  </si>
  <si>
    <t>158</t>
  </si>
  <si>
    <t>Шины SEM 922</t>
  </si>
  <si>
    <t>155</t>
  </si>
  <si>
    <t>209677394</t>
  </si>
  <si>
    <t>Фильтра MB Sprinter</t>
  </si>
  <si>
    <t xml:space="preserve">209677024 </t>
  </si>
  <si>
    <t>Мыло для офиса</t>
  </si>
  <si>
    <t>УТ-22311/Н</t>
  </si>
  <si>
    <t>Шины Iveco</t>
  </si>
  <si>
    <t>153</t>
  </si>
  <si>
    <t>Трипод EFT</t>
  </si>
  <si>
    <t>1801</t>
  </si>
  <si>
    <t>Пневмогидроусилитель тормоза погрузчика SEM 655</t>
  </si>
  <si>
    <t>2260</t>
  </si>
  <si>
    <t>Бочка масла Toyota</t>
  </si>
  <si>
    <t>УТН00000378</t>
  </si>
  <si>
    <t>ДЭС 30 кВт</t>
  </si>
  <si>
    <t>АО«Техсервис-Якутия»</t>
  </si>
  <si>
    <t>НГ-418</t>
  </si>
  <si>
    <t>Транспортерная лента АБЗ  кольцо 14.6 м</t>
  </si>
  <si>
    <t>N-4455</t>
  </si>
  <si>
    <t>Стыковка ленты</t>
  </si>
  <si>
    <t>N-4487</t>
  </si>
  <si>
    <t>Соединитель для лент BARGER B4</t>
  </si>
  <si>
    <t>N-4538</t>
  </si>
  <si>
    <t>Ползуны среднего отвала cat160</t>
  </si>
  <si>
    <t>УТ-400</t>
  </si>
  <si>
    <t>Шины CAT 160H 4 шт</t>
  </si>
  <si>
    <t>173</t>
  </si>
  <si>
    <t>Мастика битумная Т-65</t>
  </si>
  <si>
    <t>5339</t>
  </si>
  <si>
    <t>Защита подкрылка подсветка номера Sitrak</t>
  </si>
  <si>
    <t>2304</t>
  </si>
  <si>
    <t xml:space="preserve">Сумма вознаграждения согласно п. 4.2. агентского договора № 1-21 от «28» мая 2021 г. за АПРЕЛЬ 2025г. </t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</si>
  <si>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01.04.2025 г. по 30.04.2025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</si>
  <si>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01.05.2025 г. по 31.05.2025</t>
    </r>
    <r>
      <rPr>
        <sz val="11"/>
        <color rgb="FF000000"/>
        <rFont val="Times New Roman"/>
        <family val="1"/>
      </rPr>
      <t xml:space="preserve"> г. произведен закуп ТМЦ:
</t>
    </r>
  </si>
  <si>
    <t>Плита дорожная ПД20.15</t>
  </si>
  <si>
    <t>ООО "МОСТОВЫЕ КОНСТРУКЦИИ "ТРЕСТ МОСТОСТРОЙ - 10'"</t>
  </si>
  <si>
    <t>Забурник 100-120мм</t>
  </si>
  <si>
    <t>ТИ-00031576</t>
  </si>
  <si>
    <t>Ремень и натяжитель CAT 330DL</t>
  </si>
  <si>
    <t>УТ-409</t>
  </si>
  <si>
    <t>183</t>
  </si>
  <si>
    <t>ООО "Мастер Класс Сервис"</t>
  </si>
  <si>
    <t>УМ-438</t>
  </si>
  <si>
    <t>Термометр для АБС</t>
  </si>
  <si>
    <t>СЛ000191</t>
  </si>
  <si>
    <t>Анкерный куст</t>
  </si>
  <si>
    <t>11402008636220000510/РТБП-002153</t>
  </si>
  <si>
    <t>Масло для редукторов HP200</t>
  </si>
  <si>
    <t>ИП Коршунов Л.А.</t>
  </si>
  <si>
    <t>001890264</t>
  </si>
  <si>
    <t>Спецодежда АУП Оверсах/Поло</t>
  </si>
  <si>
    <t>ООО "СТАН РЕГИОН"</t>
  </si>
  <si>
    <t>146</t>
  </si>
  <si>
    <t>ЗЧ Тадано</t>
  </si>
  <si>
    <t>ИП Степаненко А. В</t>
  </si>
  <si>
    <t>388</t>
  </si>
  <si>
    <t>Флаги на Чульмакан</t>
  </si>
  <si>
    <t>526</t>
  </si>
  <si>
    <t xml:space="preserve">Флаги 3 шт СРС и кольцо </t>
  </si>
  <si>
    <t>574</t>
  </si>
  <si>
    <t>Спецодежда лето АУП</t>
  </si>
  <si>
    <t>УТ-6465</t>
  </si>
  <si>
    <t>Спецодежда лето АБЗ</t>
  </si>
  <si>
    <t>УТ-6471</t>
  </si>
  <si>
    <t>Спецодежда лето АБЗ ДСУ</t>
  </si>
  <si>
    <t>УТ-6477</t>
  </si>
  <si>
    <t>Спецодежда лето Механизаторы</t>
  </si>
  <si>
    <t>УТ-6480</t>
  </si>
  <si>
    <t>Спецодежда лето Чульмакан</t>
  </si>
  <si>
    <t>УТ-6486</t>
  </si>
  <si>
    <t xml:space="preserve">Сальники редуктора </t>
  </si>
  <si>
    <t>1005</t>
  </si>
  <si>
    <t>Кронштейны рессоры Mitsubishi FUSO Fighter</t>
  </si>
  <si>
    <t>1205</t>
  </si>
  <si>
    <t>Нижняя секция ворот</t>
  </si>
  <si>
    <t>1083</t>
  </si>
  <si>
    <t>Би лед линзы ивека 766</t>
  </si>
  <si>
    <t>0201078558-0001</t>
  </si>
  <si>
    <t>Катушка с тросом копирной струны</t>
  </si>
  <si>
    <t>ООО "ТИРОТЕХ"</t>
  </si>
  <si>
    <t>Шины IVECO 6х6,SITRACK,Урал</t>
  </si>
  <si>
    <t>178</t>
  </si>
  <si>
    <t xml:space="preserve">Шины SEM 655 - 2 шт </t>
  </si>
  <si>
    <t>213</t>
  </si>
  <si>
    <t xml:space="preserve">Щетки МТЗ 2 комплекта </t>
  </si>
  <si>
    <t>195</t>
  </si>
  <si>
    <t>Сигнальные столбики ФАД - 400 шт</t>
  </si>
  <si>
    <t>ООО "ТЕХСНАБ"</t>
  </si>
  <si>
    <t>366</t>
  </si>
  <si>
    <t>Торцовочная установка</t>
  </si>
  <si>
    <t>2505-185971-62690</t>
  </si>
  <si>
    <t>Утеплитель труб АБЗ</t>
  </si>
  <si>
    <t>250506-9</t>
  </si>
  <si>
    <t>Сита Метсо верх</t>
  </si>
  <si>
    <t>ООО "ПРОМЫШЛЕННЫЕ СИТА"</t>
  </si>
  <si>
    <t>335</t>
  </si>
  <si>
    <t>Спецодежда АУП Brodax</t>
  </si>
  <si>
    <t>ООО "Центр спецодежды Новосибирск"</t>
  </si>
  <si>
    <t>1095</t>
  </si>
  <si>
    <t>Шины трал - 2 шт</t>
  </si>
  <si>
    <t>212</t>
  </si>
  <si>
    <t>Ручка двери SEM 636</t>
  </si>
  <si>
    <t>ООО "ПРОТЕХ"</t>
  </si>
  <si>
    <t>3076</t>
  </si>
  <si>
    <t>Термальное масло 3 бочки</t>
  </si>
  <si>
    <t>OG-9284</t>
  </si>
  <si>
    <t>Реактивы для лаборатории</t>
  </si>
  <si>
    <t>СЛ000215</t>
  </si>
  <si>
    <t>Олезеленения</t>
  </si>
  <si>
    <t>ООО "СППМ",</t>
  </si>
  <si>
    <t>НФ-883</t>
  </si>
  <si>
    <t>Степлер для габионов, скоба.</t>
  </si>
  <si>
    <t>2288</t>
  </si>
  <si>
    <t>Фары МТЗ, накладка зеркала Газель</t>
  </si>
  <si>
    <t>0201078558-0007</t>
  </si>
  <si>
    <t>Ленивец CAT 330</t>
  </si>
  <si>
    <t>СФ Х_05365</t>
  </si>
  <si>
    <t>1905.1</t>
  </si>
  <si>
    <t xml:space="preserve">Подножка левая 390 и накладки </t>
  </si>
  <si>
    <t>Б 73047/Н</t>
  </si>
  <si>
    <t>ЗЧ КДМ 509 по ведомости</t>
  </si>
  <si>
    <t xml:space="preserve">Б 72383/Н </t>
  </si>
  <si>
    <t>РК Натяжитель CAT 330</t>
  </si>
  <si>
    <t>Форсунка BOSCH 0445120474  SANY</t>
  </si>
  <si>
    <t>434</t>
  </si>
  <si>
    <t>Проблесковые маяки SITRAK</t>
  </si>
  <si>
    <t>2205</t>
  </si>
  <si>
    <t>Метизы</t>
  </si>
  <si>
    <t>ИП Малачилаев М.Х.</t>
  </si>
  <si>
    <t>390</t>
  </si>
  <si>
    <t>Стяжки</t>
  </si>
  <si>
    <t>ООО "РУСЭЛЕКТРОМИР"</t>
  </si>
  <si>
    <t>1699-04</t>
  </si>
  <si>
    <t>Фары на гудронатор, ручка двери ситрак</t>
  </si>
  <si>
    <t>0201078558-0006</t>
  </si>
  <si>
    <t>Масло бочковое H1 - Foton</t>
  </si>
  <si>
    <t>ГБЦ КДМ 827</t>
  </si>
  <si>
    <t>Б  80327/Н</t>
  </si>
  <si>
    <t>Фильтра Sany</t>
  </si>
  <si>
    <t>ООО Техноазия</t>
  </si>
  <si>
    <t>UT-1158</t>
  </si>
  <si>
    <t xml:space="preserve">Сумма вознаграждения согласно п. 4.2. агентского договора № 1-21 от «28» мая 2021 г. за МАЙ 2025г. </t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</si>
  <si>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01.05.2025 г. по 31.05.2025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</si>
  <si>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01.06.2025 г. по 30.06.2025</t>
    </r>
    <r>
      <rPr>
        <sz val="11"/>
        <color rgb="FF000000"/>
        <rFont val="Times New Roman"/>
        <family val="1"/>
      </rPr>
      <t xml:space="preserve"> г. произведен закуп ТМЦ:
</t>
    </r>
  </si>
  <si>
    <t>ЗЧ Foton</t>
  </si>
  <si>
    <t>348</t>
  </si>
  <si>
    <t xml:space="preserve">Битум фасованный </t>
  </si>
  <si>
    <t>ООО СИНЕРГИЯ ОЙЛ ГРУПП</t>
  </si>
  <si>
    <t>722</t>
  </si>
  <si>
    <t>Псу для грунта, Линейка, Сита, Гигрометр</t>
  </si>
  <si>
    <t>СЛ000223</t>
  </si>
  <si>
    <t>Скребки LT106 - 7 шт</t>
  </si>
  <si>
    <t>2626</t>
  </si>
  <si>
    <t>Кабина в сборе SANY 955</t>
  </si>
  <si>
    <t>ООО "ШАНХАЙ СПЕЦТЕХНИКА"</t>
  </si>
  <si>
    <t>8619</t>
  </si>
  <si>
    <t>Фал плетёный капроновый</t>
  </si>
  <si>
    <t>0201078558-0008</t>
  </si>
  <si>
    <t xml:space="preserve">Вибростол для просеивания </t>
  </si>
  <si>
    <t>СЛ000193</t>
  </si>
  <si>
    <t>Подшипгики ДСУ</t>
  </si>
  <si>
    <t>4382</t>
  </si>
  <si>
    <t xml:space="preserve">Фильтра SEM 518 каток </t>
  </si>
  <si>
    <t>3270</t>
  </si>
  <si>
    <t>Озеленение №2</t>
  </si>
  <si>
    <t>НФ-1090</t>
  </si>
  <si>
    <t xml:space="preserve">Поверка рейка дорожная </t>
  </si>
  <si>
    <t>СЛ000286</t>
  </si>
  <si>
    <t>Светильник 2шт Иенгра</t>
  </si>
  <si>
    <t>ООО "АЛВИКОМ"</t>
  </si>
  <si>
    <t>Поверка балон,пикнометр,лупа</t>
  </si>
  <si>
    <t>СЛ000292</t>
  </si>
  <si>
    <t xml:space="preserve">Комплект распылителей для битумной эмульсии </t>
  </si>
  <si>
    <t>0000-001215</t>
  </si>
  <si>
    <t>Коронки CAT</t>
  </si>
  <si>
    <t>ООО"Сфера"</t>
  </si>
  <si>
    <t>СФ Х_05778</t>
  </si>
  <si>
    <t xml:space="preserve">Прокладка ГБЦ Ивеко Курсор 13 F3BE </t>
  </si>
  <si>
    <t>ООО"ТРАКДРАЙВ"</t>
  </si>
  <si>
    <t>83067</t>
  </si>
  <si>
    <t>5022</t>
  </si>
  <si>
    <t>Ремонт блоков Body Iveco</t>
  </si>
  <si>
    <t>ИП ВАСИЛЕВСКИЙ Н.А.</t>
  </si>
  <si>
    <t>201</t>
  </si>
  <si>
    <t xml:space="preserve">Сопла кедр катод , Крышка ступицы Fuso </t>
  </si>
  <si>
    <t>0201078558-0013</t>
  </si>
  <si>
    <t>Фильтра Sany 330</t>
  </si>
  <si>
    <t>UT-1433</t>
  </si>
  <si>
    <t xml:space="preserve">Фал плетеный капроновый </t>
  </si>
  <si>
    <t>0201078558-0011</t>
  </si>
  <si>
    <t xml:space="preserve">Шестерня МТЗ-82, ролики ворот </t>
  </si>
  <si>
    <t>0201078558-0012</t>
  </si>
  <si>
    <t>Клапан CAT 160</t>
  </si>
  <si>
    <t>ООО "Адвэнс"</t>
  </si>
  <si>
    <t>267</t>
  </si>
  <si>
    <t>2806</t>
  </si>
  <si>
    <t>ЗЧ TLC 105 муфта, ремень</t>
  </si>
  <si>
    <t>2906</t>
  </si>
  <si>
    <t>Капот КамАЗ (827)Подножки правые</t>
  </si>
  <si>
    <t>Б 68606/Н</t>
  </si>
  <si>
    <t xml:space="preserve">Сумма вознаграждения согласно п. 4.2. агентского договора № 1-21 от «28» мая 2021 г. за ИЮНЬ 2025г. </t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</si>
  <si>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01.06.2025 г. по 30.06.2025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</si>
  <si>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01.07.2025 г. по 31.07.2025</t>
    </r>
    <r>
      <rPr>
        <sz val="11"/>
        <color rgb="FF000000"/>
        <rFont val="Times New Roman"/>
        <family val="1"/>
      </rPr>
      <t xml:space="preserve"> г. произведен закуп ТМЦ:
</t>
    </r>
  </si>
  <si>
    <t xml:space="preserve">ЗЧ ДСУ </t>
  </si>
  <si>
    <t>394</t>
  </si>
  <si>
    <t xml:space="preserve">ДСУ Прижимной блок PF1210 </t>
  </si>
  <si>
    <t>417</t>
  </si>
  <si>
    <t>РК сочлинение рамы CAT 160H</t>
  </si>
  <si>
    <t>УТ-636</t>
  </si>
  <si>
    <t>Редуктор цепной на ворота</t>
  </si>
  <si>
    <t>1259</t>
  </si>
  <si>
    <t>Болты МТЗ</t>
  </si>
  <si>
    <t>05091</t>
  </si>
  <si>
    <t>Тормозные ленты МТЗ</t>
  </si>
  <si>
    <t>05372</t>
  </si>
  <si>
    <t>Бустер для взрывной накачки шин</t>
  </si>
  <si>
    <t>0201078558-0015</t>
  </si>
  <si>
    <t>Семена тимофеевки Луговая</t>
  </si>
  <si>
    <t>ИП  Муромцев А.А.</t>
  </si>
  <si>
    <t>3791</t>
  </si>
  <si>
    <t xml:space="preserve">Цепь КДМ 509 </t>
  </si>
  <si>
    <t>0000-001355</t>
  </si>
  <si>
    <t xml:space="preserve">Скребки КДМ 509 </t>
  </si>
  <si>
    <t>0000-001356</t>
  </si>
  <si>
    <t>391</t>
  </si>
  <si>
    <t>SEM  655 D коронки</t>
  </si>
  <si>
    <t>4439</t>
  </si>
  <si>
    <t>Звезды ДСУ</t>
  </si>
  <si>
    <t>405</t>
  </si>
  <si>
    <t>ЗЧ ТО  FORTUNER</t>
  </si>
  <si>
    <t xml:space="preserve">222159876 </t>
  </si>
  <si>
    <t>Световозращающая лента</t>
  </si>
  <si>
    <t>1505</t>
  </si>
  <si>
    <t xml:space="preserve">Композиция алпол для БО </t>
  </si>
  <si>
    <t>ООО "Много Металла"</t>
  </si>
  <si>
    <t>298</t>
  </si>
  <si>
    <t>Masteremaco</t>
  </si>
  <si>
    <t>ООО "Абразив НСК"</t>
  </si>
  <si>
    <t>165</t>
  </si>
  <si>
    <t>Грунт эмаль "УНИПОЛ"</t>
  </si>
  <si>
    <t>ООО "ПКФ АТОМ"</t>
  </si>
  <si>
    <t>435</t>
  </si>
  <si>
    <t>ЗЧ ТО Camry</t>
  </si>
  <si>
    <t>221241551</t>
  </si>
  <si>
    <t>Насос ПЗУ</t>
  </si>
  <si>
    <t>ООО "СИБИРСКИЙ ГИДРОМАШ"</t>
  </si>
  <si>
    <t>ЦБ-14944</t>
  </si>
  <si>
    <t>Переходник на насос ПЗУ</t>
  </si>
  <si>
    <t>ЦБ-14689</t>
  </si>
  <si>
    <t>Титановые грабли</t>
  </si>
  <si>
    <t>0201078558-0016</t>
  </si>
  <si>
    <t>Комплект резиновых накладок на башмаки экскаватора</t>
  </si>
  <si>
    <t>ООО "Азия-Трак"</t>
  </si>
  <si>
    <t>УТ-2547</t>
  </si>
  <si>
    <t>Весы</t>
  </si>
  <si>
    <t>СЛ000282</t>
  </si>
  <si>
    <t xml:space="preserve">Коронка на керноотборник </t>
  </si>
  <si>
    <t xml:space="preserve">5374 </t>
  </si>
  <si>
    <t>Тормозные диски и колодки, втулка рулевой рейки H1</t>
  </si>
  <si>
    <t>221241532</t>
  </si>
  <si>
    <t>ЗЧ ТО КПП Hilux</t>
  </si>
  <si>
    <t xml:space="preserve">221241517 </t>
  </si>
  <si>
    <t>Фильтра колодки TLC 200</t>
  </si>
  <si>
    <t>221241496</t>
  </si>
  <si>
    <t>Шины sem 636 17,5 25</t>
  </si>
  <si>
    <t>313</t>
  </si>
  <si>
    <t xml:space="preserve">Сигнальный столбики </t>
  </si>
  <si>
    <t>ООО «ТЕХСНАБ»</t>
  </si>
  <si>
    <t xml:space="preserve">Лента в кольцо 31х500 соеденители </t>
  </si>
  <si>
    <t>N-6880</t>
  </si>
  <si>
    <t>N-6885</t>
  </si>
  <si>
    <t>Катушки, свечи Север 3uz</t>
  </si>
  <si>
    <t>223115855</t>
  </si>
  <si>
    <t>Колодки HINO 300</t>
  </si>
  <si>
    <t>2456</t>
  </si>
  <si>
    <t>Краска водоэмульсионная</t>
  </si>
  <si>
    <t>436</t>
  </si>
  <si>
    <t>SEM  655 D клыки</t>
  </si>
  <si>
    <t>3430</t>
  </si>
  <si>
    <t>Концевик тормоза CAT 426</t>
  </si>
  <si>
    <t>307</t>
  </si>
  <si>
    <t>Заднее стекло CAT 426</t>
  </si>
  <si>
    <t>ООО "ИНТЕГРАЦИЯ"</t>
  </si>
  <si>
    <t>750</t>
  </si>
  <si>
    <t>Ремни на ДСУ</t>
  </si>
  <si>
    <t>N-9777</t>
  </si>
  <si>
    <t>Шины Sitrak</t>
  </si>
  <si>
    <t>387</t>
  </si>
  <si>
    <t>Ремонт форсунок</t>
  </si>
  <si>
    <t>ООО "МИКС"</t>
  </si>
  <si>
    <t>Подшипники, вал XCMG</t>
  </si>
  <si>
    <t>ООО "КЗ"</t>
  </si>
  <si>
    <t>ЦБ-954</t>
  </si>
  <si>
    <t xml:space="preserve">Сумма вознаграждения согласно п. 4.2. агентского договора № 1-21 от «28» мая 2021 г. за ИЮЛЬ 2025г. </t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</si>
  <si>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01.07.2025 г. по 31.07.2025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</si>
  <si>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01.08.2025 г. по 31.08.2025</t>
    </r>
    <r>
      <rPr>
        <sz val="11"/>
        <color rgb="FF000000"/>
        <rFont val="Times New Roman"/>
        <family val="1"/>
      </rPr>
      <t xml:space="preserve"> г. произведен закуп ТМЦ:
</t>
    </r>
  </si>
  <si>
    <t>Трап кабины SANY 955</t>
  </si>
  <si>
    <t>8620</t>
  </si>
  <si>
    <t>Крестовина Iveco</t>
  </si>
  <si>
    <t>ООО "ТРАКДРАЙВ"</t>
  </si>
  <si>
    <t>102087</t>
  </si>
  <si>
    <t xml:space="preserve">Звено гусеницы КАТ 330 </t>
  </si>
  <si>
    <t>СФ Х_08344</t>
  </si>
  <si>
    <t>Топливный насос CAT10</t>
  </si>
  <si>
    <t>ИП КЛЮЧНИК И.С.</t>
  </si>
  <si>
    <t xml:space="preserve">Виброплита чульмакан </t>
  </si>
  <si>
    <t>2507-180178-37861</t>
  </si>
  <si>
    <t>Анкера Селигдар</t>
  </si>
  <si>
    <t>39932</t>
  </si>
  <si>
    <t>Анкера Б.Нимныр</t>
  </si>
  <si>
    <t>39934</t>
  </si>
  <si>
    <t>Геомебрана, Геотекстиль Селигдар</t>
  </si>
  <si>
    <t>37550</t>
  </si>
  <si>
    <t>Геомебрана, Геотекстиль Б.Нимныр</t>
  </si>
  <si>
    <t>37546</t>
  </si>
  <si>
    <t>Картридж лазерный</t>
  </si>
  <si>
    <t>8574447</t>
  </si>
  <si>
    <t>Кабельная стяжка 8х500 Селигдар</t>
  </si>
  <si>
    <t>1762-04</t>
  </si>
  <si>
    <t>Кабельная стяжка 8х500 Б.Нимныр</t>
  </si>
  <si>
    <t>1763-04</t>
  </si>
  <si>
    <t xml:space="preserve">Фильтра Fortuner </t>
  </si>
  <si>
    <t>223758749</t>
  </si>
  <si>
    <t xml:space="preserve">Трос и Помпа XCMG </t>
  </si>
  <si>
    <t>ЦБ-982</t>
  </si>
  <si>
    <t>Пыльник Шруса Canter</t>
  </si>
  <si>
    <t>0208</t>
  </si>
  <si>
    <t>Клещи ЗАХВАТ для заделки трещин</t>
  </si>
  <si>
    <t>0201078558-0018</t>
  </si>
  <si>
    <t>Фильтра SEM922</t>
  </si>
  <si>
    <t>UT-1855</t>
  </si>
  <si>
    <t>Valtek адаптер / соединение</t>
  </si>
  <si>
    <t>2508-187866-49897</t>
  </si>
  <si>
    <t>Фильтр воздушный газель</t>
  </si>
  <si>
    <t>0808</t>
  </si>
  <si>
    <t xml:space="preserve">Трос коробки XCMG </t>
  </si>
  <si>
    <t xml:space="preserve">ЦБ-1017 </t>
  </si>
  <si>
    <t>Помпа CAT329</t>
  </si>
  <si>
    <t>УТ-789</t>
  </si>
  <si>
    <t>Знак 8.10</t>
  </si>
  <si>
    <t>210</t>
  </si>
  <si>
    <t xml:space="preserve">ДЗ 2.3.7 2.3.4 6.13 </t>
  </si>
  <si>
    <t>Регулятор напряжения SA-30|AVR SX460</t>
  </si>
  <si>
    <t>НГ-898</t>
  </si>
  <si>
    <t xml:space="preserve">Стойки TLC 105 </t>
  </si>
  <si>
    <t>ИП Бутаков А.О.</t>
  </si>
  <si>
    <t>В-00055</t>
  </si>
  <si>
    <t>Цепь ПР-38,1-127 ДСУ 15м</t>
  </si>
  <si>
    <t>340</t>
  </si>
  <si>
    <t>Краска по бетону</t>
  </si>
  <si>
    <t>1038</t>
  </si>
  <si>
    <t>Топливная рампа MB SPRINTER</t>
  </si>
  <si>
    <t>ИП Данаджи А.Ф.</t>
  </si>
  <si>
    <t xml:space="preserve">29 </t>
  </si>
  <si>
    <t>Шины Вилочный</t>
  </si>
  <si>
    <t xml:space="preserve">Трос XCMG </t>
  </si>
  <si>
    <t xml:space="preserve">ЦБ-1096 </t>
  </si>
  <si>
    <t>Ключ зажигания/ Зеркало CAT10</t>
  </si>
  <si>
    <t>2508</t>
  </si>
  <si>
    <t>Уголок ситрак</t>
  </si>
  <si>
    <t>2408</t>
  </si>
  <si>
    <t xml:space="preserve">Поддерживающий каток CAT 330d2l </t>
  </si>
  <si>
    <t>Х_09296</t>
  </si>
  <si>
    <t xml:space="preserve">Сумма вознаграждения согласно п. 4.2. агентского договора № 1-21 от «28» мая 2021 г. за АВГУСТ 2025г. </t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</si>
  <si>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01.08.2025 г. по 31.08.2025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</si>
  <si>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01.09.2025 г. по 30.09.2025</t>
    </r>
    <r>
      <rPr>
        <sz val="11"/>
        <color rgb="FF000000"/>
        <rFont val="Times New Roman"/>
        <family val="1"/>
      </rPr>
      <t xml:space="preserve"> г. произведен закуп ТМЦ:
</t>
    </r>
  </si>
  <si>
    <t>Комрессор КДМ</t>
  </si>
  <si>
    <t>Б 139599/Н</t>
  </si>
  <si>
    <t>КПП Газель</t>
  </si>
  <si>
    <t>ИП Гарченко П.Н.</t>
  </si>
  <si>
    <t>156</t>
  </si>
  <si>
    <t xml:space="preserve">Скребки КДМ </t>
  </si>
  <si>
    <t>0000-001873</t>
  </si>
  <si>
    <t>СФ Х_09816</t>
  </si>
  <si>
    <t xml:space="preserve">Ленивец CAT 330d2l + 2 звена </t>
  </si>
  <si>
    <t>СФ Х_09814</t>
  </si>
  <si>
    <t>РК домкрата</t>
  </si>
  <si>
    <t>УТ-893</t>
  </si>
  <si>
    <t>0201078558-0020</t>
  </si>
  <si>
    <t>ООО "ТЕХНИЧЕСКИЕ КОМПЛЕКСЫ"</t>
  </si>
  <si>
    <t>2880</t>
  </si>
  <si>
    <t>Шнур капроновый плетеный</t>
  </si>
  <si>
    <t>0201078558-0019</t>
  </si>
  <si>
    <t>Контакторы АБЗ</t>
  </si>
  <si>
    <t>1109</t>
  </si>
  <si>
    <t xml:space="preserve">Компресор 330d2l / ремень </t>
  </si>
  <si>
    <t>67</t>
  </si>
  <si>
    <t>РК цилиндра ковша SEM 636</t>
  </si>
  <si>
    <t xml:space="preserve">5425 </t>
  </si>
  <si>
    <t>Насос гидравлики ZOOMLION</t>
  </si>
  <si>
    <t>ЦБ-1184</t>
  </si>
  <si>
    <t xml:space="preserve">Коронка SEM 655 </t>
  </si>
  <si>
    <t>5369</t>
  </si>
  <si>
    <t>Ирвлен</t>
  </si>
  <si>
    <t xml:space="preserve">ООО "ГОР ТЕКНОЛОДЖИ"    </t>
  </si>
  <si>
    <t>7828742584</t>
  </si>
  <si>
    <t>ZD4PA103 Контактная группа METSO</t>
  </si>
  <si>
    <t>ООО "ТМ ЭЛЕКТРОНИКС"</t>
  </si>
  <si>
    <t>30-164534</t>
  </si>
  <si>
    <t>Поверка рейки дорожной</t>
  </si>
  <si>
    <t>ООО ТП «СТРОЙЛАБКОМПЛЕКТ»</t>
  </si>
  <si>
    <t>СЛ000380</t>
  </si>
  <si>
    <t>Столбики сигнальные СТИЛФЛЕКС</t>
  </si>
  <si>
    <t>ООО "Регионзнак"</t>
  </si>
  <si>
    <t>677</t>
  </si>
  <si>
    <t>Инструмент для натяжения стальной ленты</t>
  </si>
  <si>
    <t>0201078558-0021</t>
  </si>
  <si>
    <t xml:space="preserve">Шериф рейка светодиодная </t>
  </si>
  <si>
    <t>ООО "ВСПЫШКА",</t>
  </si>
  <si>
    <t>ООО МТК "ФЕРРУМ -ТРАНСОЙЛ"</t>
  </si>
  <si>
    <t>769</t>
  </si>
  <si>
    <t>Передний стабилизатор Sitrak</t>
  </si>
  <si>
    <t>ООО "ФСМ-РУСИМПОРТ",</t>
  </si>
  <si>
    <t xml:space="preserve">Ножи первая очередь МТЗ </t>
  </si>
  <si>
    <t xml:space="preserve">Сумма вознаграждения согласно п. 4.2. агентского договора № 1-21 от «28» мая 2021 г. за СЕНТЯБРЬ 2025г. </t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</si>
  <si>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01.09.2025 г. по 30.09.2025</t>
    </r>
    <r>
      <rPr>
        <sz val="11"/>
        <color rgb="FF000000"/>
        <rFont val="Times New Roman"/>
        <family val="1"/>
      </rPr>
      <t xml:space="preserve"> г. произведен закуп ТМЦ:
</t>
    </r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</si>
  <si>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01.10.2025 г. по 31.10.2025</t>
    </r>
    <r>
      <rPr>
        <sz val="11"/>
        <color rgb="FF000000"/>
        <rFont val="Times New Roman"/>
        <family val="1"/>
      </rPr>
      <t xml:space="preserve"> г. произведен закуп ТМЦ:
</t>
    </r>
  </si>
  <si>
    <t>Решетка бампера TLC 300</t>
  </si>
  <si>
    <t>231899486</t>
  </si>
  <si>
    <t>Колёсные болты CAT 426</t>
  </si>
  <si>
    <t>УТ-854</t>
  </si>
  <si>
    <t>ООО "Простор"</t>
  </si>
  <si>
    <t>5665</t>
  </si>
  <si>
    <t>Знак 6.11 (6500) 510х1794</t>
  </si>
  <si>
    <t>263</t>
  </si>
  <si>
    <t xml:space="preserve">Ножи первая очередь КДМ </t>
  </si>
  <si>
    <t>214</t>
  </si>
  <si>
    <t xml:space="preserve">Ножи вторая очередь  КДМ </t>
  </si>
  <si>
    <t>216</t>
  </si>
  <si>
    <t>Brodeks осень</t>
  </si>
  <si>
    <t>1850</t>
  </si>
  <si>
    <t xml:space="preserve">Стальная труба Ø 57 мм </t>
  </si>
  <si>
    <t>ООО МТК ФЕРУМ ТРАНСОЙЛ</t>
  </si>
  <si>
    <t>457</t>
  </si>
  <si>
    <t>Моторчик стеклоподъемника Iveco 766,740</t>
  </si>
  <si>
    <t>142785</t>
  </si>
  <si>
    <t>Цепи грейдер SEM</t>
  </si>
  <si>
    <t>ООО "КЗ",</t>
  </si>
  <si>
    <t>ЦБ-1273</t>
  </si>
  <si>
    <t>Нижний палец (сочленения) и болты CAT 160</t>
  </si>
  <si>
    <t>УТ-791</t>
  </si>
  <si>
    <t>ЗЧ Ивеко 051 Клапан сервопривода</t>
  </si>
  <si>
    <t>0810</t>
  </si>
  <si>
    <t>Диод дизельного генератора</t>
  </si>
  <si>
    <t>0910</t>
  </si>
  <si>
    <t>Цепи грейдер CAT</t>
  </si>
  <si>
    <t>ООО "ТРАКТ-ДВ"</t>
  </si>
  <si>
    <t>П2Н-003765</t>
  </si>
  <si>
    <t>ЗЧ ДВС ДГУ / Двигатель )</t>
  </si>
  <si>
    <t>НГ-1140</t>
  </si>
  <si>
    <t>Уплотнение гильзы ДГУ</t>
  </si>
  <si>
    <t>ЦБ-1285</t>
  </si>
  <si>
    <t>Стойка дорожная 0,75СДШ12 г/ц - 30 шт</t>
  </si>
  <si>
    <t>282</t>
  </si>
  <si>
    <t>Ремкомплект двигателя Yuchai</t>
  </si>
  <si>
    <t>ЦБ-1288</t>
  </si>
  <si>
    <t>Болт М16х45 ГОСТ 7798-70 Горцинк</t>
  </si>
  <si>
    <t>ООО"КДК"</t>
  </si>
  <si>
    <t>555</t>
  </si>
  <si>
    <t xml:space="preserve">Знак проезд открыт/закрыт </t>
  </si>
  <si>
    <t>552</t>
  </si>
  <si>
    <t>Крепление для 1.34 на уголок</t>
  </si>
  <si>
    <t>283</t>
  </si>
  <si>
    <t>Лента сатиновая</t>
  </si>
  <si>
    <t>Фильтра для ТО TLC300</t>
  </si>
  <si>
    <t>234192188</t>
  </si>
  <si>
    <t>Шины Sany 955</t>
  </si>
  <si>
    <t>5999</t>
  </si>
  <si>
    <t>Ножи и болты CAT 10</t>
  </si>
  <si>
    <t>СФ Х_10907</t>
  </si>
  <si>
    <t>Фильтра Sitrak</t>
  </si>
  <si>
    <t>146709,146710,146711</t>
  </si>
  <si>
    <t xml:space="preserve">ПК </t>
  </si>
  <si>
    <t>2010</t>
  </si>
  <si>
    <t xml:space="preserve">ГУР КДМ </t>
  </si>
  <si>
    <t>06011</t>
  </si>
  <si>
    <t>Фильтра Iveco</t>
  </si>
  <si>
    <t>149980</t>
  </si>
  <si>
    <t>Воздуходувка Макита + акб+док.станция</t>
  </si>
  <si>
    <t xml:space="preserve">13646 </t>
  </si>
  <si>
    <t>Фильтра TLC 105</t>
  </si>
  <si>
    <t>231904415</t>
  </si>
  <si>
    <t>Ножи Zoomlion</t>
  </si>
  <si>
    <t xml:space="preserve">ЦБ-1320 </t>
  </si>
  <si>
    <t>Демпфер рулевой рейки TLC300</t>
  </si>
  <si>
    <t>235483346</t>
  </si>
  <si>
    <t>Датчик давления масла MMC Fuso</t>
  </si>
  <si>
    <t>2210</t>
  </si>
  <si>
    <t>Транспортерная лента питателя грохота Metso. Размеры 8760х1160х12</t>
  </si>
  <si>
    <t>H-4049</t>
  </si>
  <si>
    <t>Крестовина 32х95</t>
  </si>
  <si>
    <t>2810</t>
  </si>
  <si>
    <t>Шины CAT 426 - 2шт</t>
  </si>
  <si>
    <t>6459</t>
  </si>
  <si>
    <t>Траки CAT 10 - 2 шт</t>
  </si>
  <si>
    <t>УТ-1049</t>
  </si>
  <si>
    <t xml:space="preserve">Сумма вознаграждения согласно п. 4.2. агентского договора № 1-21 от «28» мая 2021 г. за ОКТЯБРЬ 2025г. </t>
  </si>
  <si>
    <r>
      <rPr>
        <sz val="11"/>
        <color rgb="FF000000"/>
        <rFont val="Times New Roman"/>
        <family val="1"/>
      </rPr>
      <t xml:space="preserve">За период с </t>
    </r>
    <r>
      <rPr>
        <b/>
        <sz val="11"/>
        <color rgb="FF000000"/>
        <rFont val="Times New Roman"/>
        <family val="1"/>
      </rPr>
      <t>01.10.2025 г. по 31.10.2025</t>
    </r>
    <r>
      <rPr>
        <sz val="11"/>
        <color rgb="FF000000"/>
        <rFont val="Times New Roman"/>
        <family val="1"/>
      </rPr>
      <t xml:space="preserve"> г. произведен закуп ТМЦ: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</si>
</sst>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₽_-;\-* #,##0.00\ _₽_-;_-* &quot;-&quot;??\ _₽_-;_-@"/>
    <numFmt numFmtId="165" formatCode="yyyy/mm/dd"/>
    <numFmt numFmtId="166" formatCode="d/m"/>
    <numFmt numFmtId="167" formatCode="yyyy/m"/>
    <numFmt numFmtId="168" formatCode="[$р.-419]#,##0.00"/>
    <numFmt numFmtId="169" formatCode="yyyy\-m"/>
  </numFmts>
  <fonts count="19">
    <font>
      <sz val="10"/>
      <color rgb="FF000000"/>
      <name val="Arial"/>
      <scheme val="minor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303335"/>
      <name val="Times New Roman"/>
      <family val="1"/>
    </font>
    <font>
      <sz val="14"/>
      <color rgb="FF000000"/>
      <name val="Arial"/>
      <family val="2"/>
    </font>
    <font>
      <sz val="14"/>
      <color theme="1"/>
      <name val="Arial"/>
      <family val="2"/>
    </font>
    <font>
      <sz val="10"/>
      <color rgb="FF000000"/>
      <name val="Roboto"/>
    </font>
    <font>
      <sz val="15"/>
      <color rgb="FF383838"/>
      <name val="Ubuntu"/>
    </font>
    <font>
      <sz val="10"/>
      <name val="Arial"/>
      <family val="2"/>
    </font>
    <font>
      <sz val="11"/>
      <color rgb="FF000000"/>
      <name val="&quot;Times New Roman&quot;"/>
    </font>
    <font>
      <sz val="11"/>
      <color rgb="FF303335"/>
      <name val="&quot;Times New Roman&quot;"/>
    </font>
    <font>
      <sz val="10"/>
      <color theme="1"/>
      <name val="Arial"/>
      <family val="2"/>
      <scheme val="minor"/>
    </font>
    <font>
      <sz val="11"/>
      <color theme="1"/>
      <name val="&quot;Times New Roman&quot;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right"/>
    </xf>
    <xf numFmtId="0" fontId="3" fillId="0" borderId="1" xfId="0" applyFont="1" applyBorder="1"/>
    <xf numFmtId="4" fontId="3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righ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4" fillId="0" borderId="1" xfId="0" applyFont="1" applyBorder="1"/>
    <xf numFmtId="164" fontId="5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4" fontId="5" fillId="0" borderId="0" xfId="0" applyNumberFormat="1" applyFont="1" applyAlignment="1">
      <alignment horizontal="right" vertical="center"/>
    </xf>
    <xf numFmtId="0" fontId="8" fillId="0" borderId="0" xfId="0" applyFont="1"/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0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 wrapText="1"/>
    </xf>
    <xf numFmtId="0" fontId="11" fillId="0" borderId="0" xfId="0" applyFont="1" applyAlignment="1">
      <alignment horizontal="center"/>
    </xf>
    <xf numFmtId="0" fontId="6" fillId="2" borderId="2" xfId="0" applyFont="1" applyFill="1" applyBorder="1"/>
    <xf numFmtId="0" fontId="3" fillId="2" borderId="0" xfId="0" applyFont="1" applyFill="1"/>
    <xf numFmtId="165" fontId="3" fillId="2" borderId="2" xfId="0" applyNumberFormat="1" applyFont="1" applyFill="1" applyBorder="1" applyAlignment="1">
      <alignment horizontal="right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4" fillId="2" borderId="1" xfId="0" applyFont="1" applyFill="1" applyBorder="1"/>
    <xf numFmtId="0" fontId="4" fillId="0" borderId="3" xfId="0" applyFont="1" applyBorder="1" applyAlignment="1">
      <alignment horizontal="center" wrapText="1"/>
    </xf>
    <xf numFmtId="0" fontId="7" fillId="2" borderId="3" xfId="0" applyFont="1" applyFill="1" applyBorder="1" applyAlignment="1">
      <alignment horizontal="right" wrapText="1"/>
    </xf>
    <xf numFmtId="4" fontId="4" fillId="0" borderId="3" xfId="0" applyNumberFormat="1" applyFont="1" applyBorder="1" applyAlignment="1">
      <alignment horizontal="right"/>
    </xf>
    <xf numFmtId="0" fontId="4" fillId="2" borderId="4" xfId="0" applyFont="1" applyFill="1" applyBorder="1"/>
    <xf numFmtId="0" fontId="4" fillId="0" borderId="5" xfId="0" applyFont="1" applyBorder="1" applyAlignment="1">
      <alignment horizontal="center" wrapText="1"/>
    </xf>
    <xf numFmtId="0" fontId="7" fillId="2" borderId="5" xfId="0" applyFont="1" applyFill="1" applyBorder="1" applyAlignment="1">
      <alignment horizontal="right" wrapText="1"/>
    </xf>
    <xf numFmtId="4" fontId="4" fillId="0" borderId="5" xfId="0" applyNumberFormat="1" applyFont="1" applyBorder="1" applyAlignment="1">
      <alignment horizontal="right"/>
    </xf>
    <xf numFmtId="4" fontId="5" fillId="0" borderId="1" xfId="0" applyNumberFormat="1" applyFont="1" applyBorder="1" applyAlignment="1">
      <alignment horizontal="right" vertical="center" wrapText="1"/>
    </xf>
    <xf numFmtId="0" fontId="7" fillId="2" borderId="1" xfId="0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right" wrapText="1"/>
    </xf>
    <xf numFmtId="167" fontId="4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center"/>
    </xf>
    <xf numFmtId="167" fontId="7" fillId="2" borderId="1" xfId="0" applyNumberFormat="1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wrapText="1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right"/>
    </xf>
    <xf numFmtId="4" fontId="13" fillId="0" borderId="1" xfId="0" applyNumberFormat="1" applyFont="1" applyBorder="1" applyAlignment="1">
      <alignment horizontal="right"/>
    </xf>
    <xf numFmtId="0" fontId="13" fillId="2" borderId="1" xfId="0" applyFont="1" applyFill="1" applyBorder="1" applyAlignment="1">
      <alignment horizontal="right"/>
    </xf>
    <xf numFmtId="0" fontId="13" fillId="0" borderId="0" xfId="0" applyFont="1"/>
    <xf numFmtId="0" fontId="13" fillId="2" borderId="1" xfId="0" applyFont="1" applyFill="1" applyBorder="1"/>
    <xf numFmtId="0" fontId="14" fillId="2" borderId="1" xfId="0" applyFont="1" applyFill="1" applyBorder="1" applyAlignment="1">
      <alignment horizontal="right"/>
    </xf>
    <xf numFmtId="0" fontId="13" fillId="2" borderId="0" xfId="0" applyFont="1" applyFill="1"/>
    <xf numFmtId="0" fontId="13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3" fillId="0" borderId="0" xfId="0" applyFont="1" applyAlignment="1">
      <alignment horizontal="right" vertical="center"/>
    </xf>
    <xf numFmtId="0" fontId="4" fillId="2" borderId="3" xfId="0" applyFont="1" applyFill="1" applyBorder="1" applyAlignment="1">
      <alignment horizontal="right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4" fontId="4" fillId="0" borderId="5" xfId="0" applyNumberFormat="1" applyFont="1" applyBorder="1" applyAlignment="1">
      <alignment horizontal="right" wrapText="1"/>
    </xf>
    <xf numFmtId="0" fontId="7" fillId="2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right"/>
    </xf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168" fontId="4" fillId="0" borderId="5" xfId="0" applyNumberFormat="1" applyFont="1" applyBorder="1" applyAlignment="1">
      <alignment horizontal="center" wrapText="1"/>
    </xf>
    <xf numFmtId="0" fontId="13" fillId="0" borderId="4" xfId="0" applyFont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3" fillId="0" borderId="4" xfId="0" applyFont="1" applyBorder="1"/>
    <xf numFmtId="4" fontId="13" fillId="0" borderId="5" xfId="0" applyNumberFormat="1" applyFont="1" applyBorder="1" applyAlignment="1">
      <alignment horizontal="right"/>
    </xf>
    <xf numFmtId="0" fontId="13" fillId="0" borderId="4" xfId="0" applyFont="1" applyBorder="1" applyAlignment="1">
      <alignment horizontal="left"/>
    </xf>
    <xf numFmtId="168" fontId="13" fillId="0" borderId="4" xfId="0" applyNumberFormat="1" applyFont="1" applyBorder="1" applyAlignment="1">
      <alignment horizontal="center"/>
    </xf>
    <xf numFmtId="168" fontId="13" fillId="0" borderId="5" xfId="0" applyNumberFormat="1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4" fillId="0" borderId="0" xfId="0" applyFont="1"/>
    <xf numFmtId="0" fontId="13" fillId="0" borderId="3" xfId="0" applyFont="1" applyBorder="1"/>
    <xf numFmtId="0" fontId="13" fillId="0" borderId="3" xfId="0" applyFont="1" applyBorder="1" applyAlignment="1">
      <alignment horizontal="center"/>
    </xf>
    <xf numFmtId="0" fontId="13" fillId="0" borderId="5" xfId="0" applyFont="1" applyBorder="1"/>
    <xf numFmtId="0" fontId="14" fillId="0" borderId="5" xfId="0" applyFont="1" applyBorder="1" applyAlignment="1">
      <alignment horizontal="center"/>
    </xf>
    <xf numFmtId="0" fontId="13" fillId="0" borderId="5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49" fontId="5" fillId="0" borderId="1" xfId="0" applyNumberFormat="1" applyFont="1" applyBorder="1" applyAlignment="1">
      <alignment horizontal="left" vertical="center" wrapText="1"/>
    </xf>
    <xf numFmtId="0" fontId="4" fillId="0" borderId="3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horizontal="center" wrapText="1"/>
    </xf>
    <xf numFmtId="0" fontId="16" fillId="0" borderId="4" xfId="0" applyFont="1" applyBorder="1" applyAlignment="1">
      <alignment wrapText="1"/>
    </xf>
    <xf numFmtId="0" fontId="16" fillId="0" borderId="4" xfId="0" applyFont="1" applyBorder="1" applyAlignment="1">
      <alignment horizontal="center" wrapText="1"/>
    </xf>
    <xf numFmtId="169" fontId="4" fillId="0" borderId="1" xfId="0" applyNumberFormat="1" applyFont="1" applyBorder="1" applyAlignment="1">
      <alignment horizontal="center" wrapText="1"/>
    </xf>
    <xf numFmtId="0" fontId="7" fillId="0" borderId="3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wrapText="1"/>
    </xf>
    <xf numFmtId="0" fontId="16" fillId="3" borderId="4" xfId="0" applyFont="1" applyFill="1" applyBorder="1" applyAlignment="1">
      <alignment horizontal="center" wrapText="1"/>
    </xf>
    <xf numFmtId="4" fontId="3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wrapText="1"/>
    </xf>
    <xf numFmtId="0" fontId="16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4" fontId="4" fillId="3" borderId="1" xfId="0" applyNumberFormat="1" applyFont="1" applyFill="1" applyBorder="1" applyAlignment="1">
      <alignment horizontal="right"/>
    </xf>
    <xf numFmtId="0" fontId="3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4" fillId="3" borderId="0" xfId="0" applyFont="1" applyFill="1"/>
    <xf numFmtId="0" fontId="4" fillId="3" borderId="1" xfId="0" applyFont="1" applyFill="1" applyBorder="1"/>
    <xf numFmtId="0" fontId="4" fillId="3" borderId="3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/>
    </xf>
    <xf numFmtId="4" fontId="4" fillId="3" borderId="3" xfId="0" applyNumberFormat="1" applyFont="1" applyFill="1" applyBorder="1" applyAlignment="1">
      <alignment horizontal="right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wrapText="1"/>
    </xf>
    <xf numFmtId="0" fontId="16" fillId="0" borderId="5" xfId="0" applyFont="1" applyBorder="1" applyAlignment="1">
      <alignment horizontal="center" wrapText="1"/>
    </xf>
    <xf numFmtId="49" fontId="17" fillId="0" borderId="4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vertical="center"/>
    </xf>
    <xf numFmtId="4" fontId="4" fillId="0" borderId="5" xfId="0" applyNumberFormat="1" applyFont="1" applyBorder="1" applyAlignment="1">
      <alignment horizontal="right" vertical="center"/>
    </xf>
    <xf numFmtId="49" fontId="7" fillId="0" borderId="3" xfId="0" applyNumberFormat="1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right" vertical="center"/>
    </xf>
    <xf numFmtId="49" fontId="17" fillId="0" borderId="1" xfId="0" applyNumberFormat="1" applyFont="1" applyBorder="1" applyAlignment="1">
      <alignment horizontal="center" vertical="center"/>
    </xf>
    <xf numFmtId="49" fontId="16" fillId="0" borderId="4" xfId="0" applyNumberFormat="1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wrapText="1"/>
    </xf>
    <xf numFmtId="49" fontId="4" fillId="0" borderId="5" xfId="0" applyNumberFormat="1" applyFont="1" applyBorder="1" applyAlignment="1">
      <alignment horizontal="center" wrapText="1"/>
    </xf>
    <xf numFmtId="0" fontId="4" fillId="0" borderId="4" xfId="0" applyFont="1" applyBorder="1"/>
    <xf numFmtId="49" fontId="17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49" fontId="17" fillId="0" borderId="1" xfId="0" applyNumberFormat="1" applyFont="1" applyBorder="1"/>
    <xf numFmtId="49" fontId="18" fillId="0" borderId="1" xfId="0" applyNumberFormat="1" applyFont="1" applyBorder="1"/>
    <xf numFmtId="0" fontId="13" fillId="0" borderId="0" xfId="0" applyFont="1" applyAlignment="1">
      <alignment horizontal="left"/>
    </xf>
    <xf numFmtId="0" fontId="13" fillId="0" borderId="1" xfId="0" applyFont="1" applyBorder="1" applyAlignment="1">
      <alignment horizontal="left" wrapText="1"/>
    </xf>
    <xf numFmtId="49" fontId="17" fillId="4" borderId="1" xfId="0" applyNumberFormat="1" applyFont="1" applyFill="1" applyBorder="1"/>
    <xf numFmtId="0" fontId="1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 wrapText="1"/>
    </xf>
    <xf numFmtId="49" fontId="4" fillId="4" borderId="1" xfId="0" applyNumberFormat="1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center" wrapText="1"/>
    </xf>
    <xf numFmtId="49" fontId="4" fillId="4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4" fontId="5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/>
    <xf numFmtId="49" fontId="4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6" xfId="0" applyFont="1" applyBorder="1"/>
    <xf numFmtId="0" fontId="12" fillId="0" borderId="7" xfId="0" applyFont="1" applyBorder="1"/>
    <xf numFmtId="0" fontId="12" fillId="0" borderId="3" xfId="0" applyFont="1" applyBorder="1"/>
    <xf numFmtId="4" fontId="5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49" fontId="3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left"/>
    </xf>
    <xf numFmtId="49" fontId="5" fillId="0" borderId="6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94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25"/>
  <sheetViews>
    <sheetView workbookViewId="0"/>
  </sheetViews>
  <sheetFormatPr baseColWidth="10" defaultColWidth="12.6640625" defaultRowHeight="15" customHeight="1"/>
  <cols>
    <col min="1" max="1" width="12.6640625" customWidth="1"/>
    <col min="2" max="2" width="7.6640625" customWidth="1"/>
    <col min="3" max="3" width="49.1640625" customWidth="1"/>
    <col min="4" max="4" width="28.1640625" customWidth="1"/>
    <col min="5" max="5" width="19.1640625" customWidth="1"/>
    <col min="6" max="6" width="18.33203125" customWidth="1"/>
  </cols>
  <sheetData>
    <row r="1" spans="1:26" ht="15.75" customHeight="1">
      <c r="A1" s="1"/>
      <c r="B1" s="2"/>
      <c r="C1" s="3"/>
      <c r="D1" s="199" t="s">
        <v>0</v>
      </c>
      <c r="E1" s="196"/>
      <c r="F1" s="19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4"/>
      <c r="C2" s="199" t="s">
        <v>1</v>
      </c>
      <c r="D2" s="196"/>
      <c r="E2" s="196"/>
      <c r="F2" s="19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4"/>
      <c r="C3" s="200" t="s">
        <v>2</v>
      </c>
      <c r="D3" s="196"/>
      <c r="E3" s="196"/>
      <c r="F3" s="19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4"/>
      <c r="C4" s="200" t="s">
        <v>3</v>
      </c>
      <c r="D4" s="196"/>
      <c r="E4" s="196"/>
      <c r="F4" s="19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4"/>
      <c r="C5" s="200" t="s">
        <v>4</v>
      </c>
      <c r="D5" s="196"/>
      <c r="E5" s="196"/>
      <c r="F5" s="19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5"/>
      <c r="C6" s="200" t="s">
        <v>5</v>
      </c>
      <c r="D6" s="196"/>
      <c r="E6" s="196"/>
      <c r="F6" s="19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201" t="s">
        <v>6</v>
      </c>
      <c r="C7" s="196"/>
      <c r="D7" s="196"/>
      <c r="E7" s="196"/>
      <c r="F7" s="19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95" t="s">
        <v>7</v>
      </c>
      <c r="C8" s="196"/>
      <c r="D8" s="196"/>
      <c r="E8" s="196"/>
      <c r="F8" s="19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97" t="s">
        <v>29</v>
      </c>
      <c r="C9" s="196"/>
      <c r="D9" s="196"/>
      <c r="E9" s="196"/>
      <c r="F9" s="19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6"/>
      <c r="C10" s="2"/>
      <c r="D10" s="2"/>
      <c r="E10" s="2"/>
      <c r="F10" s="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8" t="s">
        <v>8</v>
      </c>
      <c r="C11" s="9" t="s">
        <v>9</v>
      </c>
      <c r="D11" s="9" t="s">
        <v>10</v>
      </c>
      <c r="E11" s="9" t="s">
        <v>11</v>
      </c>
      <c r="F11" s="10" t="s">
        <v>12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1">
        <v>1</v>
      </c>
      <c r="C12" s="12" t="s">
        <v>30</v>
      </c>
      <c r="D12" s="13" t="s">
        <v>31</v>
      </c>
      <c r="E12" s="14">
        <v>12300</v>
      </c>
      <c r="F12" s="15">
        <v>266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1">
        <v>2</v>
      </c>
      <c r="C13" s="12" t="s">
        <v>32</v>
      </c>
      <c r="D13" s="13" t="s">
        <v>33</v>
      </c>
      <c r="E13" s="14">
        <v>14787</v>
      </c>
      <c r="F13" s="15" t="s">
        <v>34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1">
        <v>3</v>
      </c>
      <c r="C14" s="12" t="s">
        <v>35</v>
      </c>
      <c r="D14" s="13" t="s">
        <v>36</v>
      </c>
      <c r="E14" s="14">
        <v>2208</v>
      </c>
      <c r="F14" s="16" t="s">
        <v>37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1">
        <v>4</v>
      </c>
      <c r="C15" s="17" t="s">
        <v>38</v>
      </c>
      <c r="D15" s="13" t="s">
        <v>39</v>
      </c>
      <c r="E15" s="18">
        <v>57400</v>
      </c>
      <c r="F15" s="15">
        <v>466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1">
        <v>5</v>
      </c>
      <c r="C16" s="12" t="s">
        <v>40</v>
      </c>
      <c r="D16" s="13" t="s">
        <v>41</v>
      </c>
      <c r="E16" s="18">
        <v>11760</v>
      </c>
      <c r="F16" s="15">
        <v>372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1">
        <v>6</v>
      </c>
      <c r="C17" s="12" t="s">
        <v>42</v>
      </c>
      <c r="D17" s="13" t="s">
        <v>43</v>
      </c>
      <c r="E17" s="19">
        <v>30423</v>
      </c>
      <c r="F17" s="15">
        <v>20423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1">
        <v>7</v>
      </c>
      <c r="C18" s="17" t="s">
        <v>44</v>
      </c>
      <c r="D18" s="13" t="s">
        <v>45</v>
      </c>
      <c r="E18" s="19">
        <v>5211</v>
      </c>
      <c r="F18" s="15" t="s">
        <v>46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1">
        <v>8</v>
      </c>
      <c r="C19" s="12" t="s">
        <v>47</v>
      </c>
      <c r="D19" s="13" t="s">
        <v>48</v>
      </c>
      <c r="E19" s="19">
        <v>12820.02</v>
      </c>
      <c r="F19" s="15" t="s">
        <v>49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1">
        <v>9</v>
      </c>
      <c r="C20" s="12" t="s">
        <v>50</v>
      </c>
      <c r="D20" s="13" t="s">
        <v>51</v>
      </c>
      <c r="E20" s="19">
        <v>7130.56</v>
      </c>
      <c r="F20" s="20" t="s">
        <v>52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1">
        <v>10</v>
      </c>
      <c r="C21" s="12" t="s">
        <v>53</v>
      </c>
      <c r="D21" s="13" t="s">
        <v>45</v>
      </c>
      <c r="E21" s="19">
        <v>2348</v>
      </c>
      <c r="F21" s="15" t="s">
        <v>54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1">
        <v>11</v>
      </c>
      <c r="C22" s="12" t="s">
        <v>55</v>
      </c>
      <c r="D22" s="13" t="s">
        <v>56</v>
      </c>
      <c r="E22" s="19">
        <v>8900</v>
      </c>
      <c r="F22" s="15">
        <v>401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1">
        <v>12</v>
      </c>
      <c r="C23" s="12" t="s">
        <v>57</v>
      </c>
      <c r="D23" s="13" t="s">
        <v>58</v>
      </c>
      <c r="E23" s="14">
        <v>17280</v>
      </c>
      <c r="F23" s="15" t="s">
        <v>59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1">
        <v>13</v>
      </c>
      <c r="C24" s="12" t="s">
        <v>60</v>
      </c>
      <c r="D24" s="13" t="s">
        <v>61</v>
      </c>
      <c r="E24" s="14">
        <v>4680</v>
      </c>
      <c r="F24" s="15">
        <v>510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1">
        <v>14</v>
      </c>
      <c r="C25" s="12" t="s">
        <v>62</v>
      </c>
      <c r="D25" s="13" t="s">
        <v>20</v>
      </c>
      <c r="E25" s="14">
        <v>9788</v>
      </c>
      <c r="F25" s="15" t="s">
        <v>63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1">
        <v>15</v>
      </c>
      <c r="C26" s="17" t="s">
        <v>64</v>
      </c>
      <c r="D26" s="13" t="s">
        <v>65</v>
      </c>
      <c r="E26" s="14">
        <v>187474.97</v>
      </c>
      <c r="F26" s="31">
        <v>1087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1">
        <v>16</v>
      </c>
      <c r="C27" s="17" t="s">
        <v>66</v>
      </c>
      <c r="D27" s="13" t="s">
        <v>67</v>
      </c>
      <c r="E27" s="18">
        <v>12490</v>
      </c>
      <c r="F27" s="15">
        <v>1836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1">
        <v>17</v>
      </c>
      <c r="C28" s="12" t="s">
        <v>68</v>
      </c>
      <c r="D28" s="13" t="s">
        <v>69</v>
      </c>
      <c r="E28" s="18">
        <v>14325</v>
      </c>
      <c r="F28" s="15">
        <v>2691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1">
        <v>18</v>
      </c>
      <c r="C29" s="21" t="s">
        <v>70</v>
      </c>
      <c r="D29" s="13" t="s">
        <v>71</v>
      </c>
      <c r="E29" s="18">
        <v>7500</v>
      </c>
      <c r="F29" s="22">
        <v>6218602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1">
        <v>19</v>
      </c>
      <c r="C30" s="21" t="s">
        <v>72</v>
      </c>
      <c r="D30" s="13" t="s">
        <v>73</v>
      </c>
      <c r="E30" s="18">
        <v>6054</v>
      </c>
      <c r="F30" s="22">
        <v>2459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1">
        <v>20</v>
      </c>
      <c r="C31" s="21" t="s">
        <v>74</v>
      </c>
      <c r="D31" s="13" t="s">
        <v>75</v>
      </c>
      <c r="E31" s="18">
        <v>26445</v>
      </c>
      <c r="F31" s="23">
        <v>1893.2725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1">
        <v>21</v>
      </c>
      <c r="C32" s="21" t="s">
        <v>76</v>
      </c>
      <c r="D32" s="13" t="s">
        <v>77</v>
      </c>
      <c r="E32" s="18">
        <v>322492.75</v>
      </c>
      <c r="F32" s="23">
        <v>1984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1">
        <v>22</v>
      </c>
      <c r="C33" s="21" t="s">
        <v>78</v>
      </c>
      <c r="D33" s="13" t="s">
        <v>79</v>
      </c>
      <c r="E33" s="18">
        <v>75049.919999999998</v>
      </c>
      <c r="F33" s="23">
        <v>54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1">
        <v>23</v>
      </c>
      <c r="C34" s="21" t="s">
        <v>80</v>
      </c>
      <c r="D34" s="13" t="s">
        <v>81</v>
      </c>
      <c r="E34" s="18">
        <v>7200</v>
      </c>
      <c r="F34" s="23" t="s">
        <v>82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1">
        <v>24</v>
      </c>
      <c r="C35" s="21" t="s">
        <v>83</v>
      </c>
      <c r="D35" s="13" t="s">
        <v>84</v>
      </c>
      <c r="E35" s="18">
        <v>183750</v>
      </c>
      <c r="F35" s="23" t="s">
        <v>85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1">
        <v>25</v>
      </c>
      <c r="C36" s="21" t="s">
        <v>86</v>
      </c>
      <c r="D36" s="13" t="s">
        <v>87</v>
      </c>
      <c r="E36" s="18">
        <v>302652</v>
      </c>
      <c r="F36" s="23" t="s">
        <v>88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1">
        <v>26</v>
      </c>
      <c r="C37" s="21" t="s">
        <v>89</v>
      </c>
      <c r="D37" s="13" t="s">
        <v>90</v>
      </c>
      <c r="E37" s="18">
        <v>105212.12</v>
      </c>
      <c r="F37" s="23" t="s">
        <v>91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1">
        <v>27</v>
      </c>
      <c r="C38" s="21" t="s">
        <v>92</v>
      </c>
      <c r="D38" s="13" t="s">
        <v>93</v>
      </c>
      <c r="E38" s="18">
        <v>6096</v>
      </c>
      <c r="F38" s="23" t="s">
        <v>94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1">
        <v>28</v>
      </c>
      <c r="C39" s="21" t="s">
        <v>95</v>
      </c>
      <c r="D39" s="13" t="s">
        <v>96</v>
      </c>
      <c r="E39" s="18">
        <v>27872</v>
      </c>
      <c r="F39" s="23" t="s">
        <v>97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1">
        <v>29</v>
      </c>
      <c r="C40" s="21" t="s">
        <v>98</v>
      </c>
      <c r="D40" s="13" t="s">
        <v>81</v>
      </c>
      <c r="E40" s="18">
        <v>12000</v>
      </c>
      <c r="F40" s="23" t="s">
        <v>99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1">
        <v>30</v>
      </c>
      <c r="C41" s="21" t="s">
        <v>100</v>
      </c>
      <c r="D41" s="13" t="s">
        <v>101</v>
      </c>
      <c r="E41" s="18">
        <v>13794</v>
      </c>
      <c r="F41" s="23" t="s">
        <v>102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1">
        <v>31</v>
      </c>
      <c r="C42" s="21" t="s">
        <v>103</v>
      </c>
      <c r="D42" s="13" t="s">
        <v>104</v>
      </c>
      <c r="E42" s="18">
        <v>19615</v>
      </c>
      <c r="F42" s="23">
        <v>210801063642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1">
        <v>32</v>
      </c>
      <c r="C43" s="21" t="s">
        <v>105</v>
      </c>
      <c r="D43" s="13" t="s">
        <v>104</v>
      </c>
      <c r="E43" s="18">
        <v>3168</v>
      </c>
      <c r="F43" s="23" t="s">
        <v>102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1">
        <v>33</v>
      </c>
      <c r="C44" s="21" t="s">
        <v>106</v>
      </c>
      <c r="D44" s="13" t="s">
        <v>104</v>
      </c>
      <c r="E44" s="18">
        <v>9530</v>
      </c>
      <c r="F44" s="23" t="s">
        <v>102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1">
        <v>34</v>
      </c>
      <c r="C45" s="21" t="s">
        <v>107</v>
      </c>
      <c r="D45" s="13" t="s">
        <v>23</v>
      </c>
      <c r="E45" s="18">
        <v>44100</v>
      </c>
      <c r="F45" s="23" t="s">
        <v>108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1">
        <v>35</v>
      </c>
      <c r="C46" s="21" t="s">
        <v>109</v>
      </c>
      <c r="D46" s="13" t="s">
        <v>93</v>
      </c>
      <c r="E46" s="18">
        <v>26334</v>
      </c>
      <c r="F46" s="32" t="s">
        <v>110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1">
        <v>36</v>
      </c>
      <c r="C47" s="21" t="s">
        <v>111</v>
      </c>
      <c r="D47" s="13" t="s">
        <v>112</v>
      </c>
      <c r="E47" s="18">
        <v>87603</v>
      </c>
      <c r="F47" s="32" t="s">
        <v>113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33"/>
      <c r="B48" s="11">
        <v>37</v>
      </c>
      <c r="C48" s="21" t="s">
        <v>114</v>
      </c>
      <c r="D48" s="13" t="s">
        <v>115</v>
      </c>
      <c r="E48" s="18">
        <v>2560.04</v>
      </c>
      <c r="F48" s="32" t="s">
        <v>116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33"/>
      <c r="B49" s="11">
        <v>38</v>
      </c>
      <c r="C49" s="21" t="s">
        <v>117</v>
      </c>
      <c r="D49" s="13" t="s">
        <v>118</v>
      </c>
      <c r="E49" s="18">
        <v>3395</v>
      </c>
      <c r="F49" s="32" t="s">
        <v>102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33"/>
      <c r="B50" s="11">
        <v>39</v>
      </c>
      <c r="C50" s="21" t="s">
        <v>119</v>
      </c>
      <c r="D50" s="13" t="s">
        <v>23</v>
      </c>
      <c r="E50" s="18">
        <v>3750</v>
      </c>
      <c r="F50" s="32" t="s">
        <v>120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8" t="s">
        <v>24</v>
      </c>
      <c r="C51" s="24"/>
      <c r="D51" s="8"/>
      <c r="E51" s="25">
        <f>SUM(E12:E50)</f>
        <v>1707498.3800000004</v>
      </c>
      <c r="F51" s="2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6"/>
      <c r="C52" s="2"/>
      <c r="D52" s="2"/>
      <c r="E52" s="2"/>
      <c r="F52" s="7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98" t="s">
        <v>121</v>
      </c>
      <c r="C53" s="196"/>
      <c r="D53" s="196"/>
      <c r="E53" s="196"/>
      <c r="F53" s="27">
        <f>E51*2%</f>
        <v>34149.967600000011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98" t="s">
        <v>25</v>
      </c>
      <c r="C54" s="196"/>
      <c r="D54" s="196"/>
      <c r="E54" s="196"/>
      <c r="F54" s="19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5.25" customHeight="1">
      <c r="A55" s="1"/>
      <c r="B55" s="198"/>
      <c r="C55" s="196"/>
      <c r="D55" s="196"/>
      <c r="E55" s="196"/>
      <c r="F55" s="19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98" t="s">
        <v>26</v>
      </c>
      <c r="C56" s="196"/>
      <c r="D56" s="196"/>
      <c r="E56" s="196"/>
      <c r="F56" s="19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98" t="s">
        <v>27</v>
      </c>
      <c r="C57" s="196"/>
      <c r="D57" s="196"/>
      <c r="E57" s="196"/>
      <c r="F57" s="196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98" t="s">
        <v>28</v>
      </c>
      <c r="C58" s="196"/>
      <c r="D58" s="196"/>
      <c r="E58" s="196"/>
      <c r="F58" s="196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28"/>
      <c r="C59" s="28"/>
      <c r="D59" s="29"/>
      <c r="E59" s="29"/>
      <c r="F59" s="3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28"/>
      <c r="C60" s="28"/>
      <c r="D60" s="29"/>
      <c r="E60" s="29"/>
      <c r="F60" s="3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28"/>
      <c r="C61" s="28"/>
      <c r="D61" s="29"/>
      <c r="E61" s="29"/>
      <c r="F61" s="3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28"/>
      <c r="C62" s="28"/>
      <c r="D62" s="29"/>
      <c r="E62" s="29"/>
      <c r="F62" s="3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28"/>
      <c r="C63" s="28"/>
      <c r="D63" s="29"/>
      <c r="E63" s="29"/>
      <c r="F63" s="3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28"/>
      <c r="C64" s="28"/>
      <c r="D64" s="29"/>
      <c r="E64" s="29"/>
      <c r="F64" s="3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28"/>
      <c r="C65" s="28"/>
      <c r="D65" s="29"/>
      <c r="E65" s="29"/>
      <c r="F65" s="3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28"/>
      <c r="C66" s="28"/>
      <c r="D66" s="29"/>
      <c r="E66" s="29"/>
      <c r="F66" s="3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28"/>
      <c r="C67" s="28"/>
      <c r="D67" s="29"/>
      <c r="E67" s="29"/>
      <c r="F67" s="3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28"/>
      <c r="C68" s="28"/>
      <c r="D68" s="29"/>
      <c r="E68" s="29"/>
      <c r="F68" s="3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28"/>
      <c r="C69" s="28"/>
      <c r="D69" s="29"/>
      <c r="E69" s="29"/>
      <c r="F69" s="3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28"/>
      <c r="C70" s="28"/>
      <c r="D70" s="29"/>
      <c r="E70" s="29"/>
      <c r="F70" s="3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28"/>
      <c r="C71" s="28"/>
      <c r="D71" s="29"/>
      <c r="E71" s="29"/>
      <c r="F71" s="3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28"/>
      <c r="C72" s="28"/>
      <c r="D72" s="29"/>
      <c r="E72" s="29"/>
      <c r="F72" s="3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28"/>
      <c r="C73" s="28"/>
      <c r="D73" s="29"/>
      <c r="E73" s="29"/>
      <c r="F73" s="3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28"/>
      <c r="C74" s="28"/>
      <c r="D74" s="29"/>
      <c r="E74" s="29"/>
      <c r="F74" s="3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28"/>
      <c r="C75" s="28"/>
      <c r="D75" s="29"/>
      <c r="E75" s="29"/>
      <c r="F75" s="3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28"/>
      <c r="C76" s="28"/>
      <c r="D76" s="29"/>
      <c r="E76" s="29"/>
      <c r="F76" s="3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28"/>
      <c r="C77" s="28"/>
      <c r="D77" s="29"/>
      <c r="E77" s="29"/>
      <c r="F77" s="3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28"/>
      <c r="C78" s="28"/>
      <c r="D78" s="29"/>
      <c r="E78" s="29"/>
      <c r="F78" s="3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28"/>
      <c r="C79" s="28"/>
      <c r="D79" s="29"/>
      <c r="E79" s="29"/>
      <c r="F79" s="3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28"/>
      <c r="C80" s="28"/>
      <c r="D80" s="29"/>
      <c r="E80" s="29"/>
      <c r="F80" s="3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28"/>
      <c r="C81" s="28"/>
      <c r="D81" s="29"/>
      <c r="E81" s="29"/>
      <c r="F81" s="3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28"/>
      <c r="C82" s="28"/>
      <c r="D82" s="29"/>
      <c r="E82" s="29"/>
      <c r="F82" s="3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28"/>
      <c r="C83" s="28"/>
      <c r="D83" s="29"/>
      <c r="E83" s="29"/>
      <c r="F83" s="3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28"/>
      <c r="C84" s="28"/>
      <c r="D84" s="29"/>
      <c r="E84" s="29"/>
      <c r="F84" s="3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28"/>
      <c r="C85" s="28"/>
      <c r="D85" s="29"/>
      <c r="E85" s="29"/>
      <c r="F85" s="3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28"/>
      <c r="C86" s="28"/>
      <c r="D86" s="29"/>
      <c r="E86" s="29"/>
      <c r="F86" s="3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28"/>
      <c r="C87" s="28"/>
      <c r="D87" s="29"/>
      <c r="E87" s="29"/>
      <c r="F87" s="3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28"/>
      <c r="C88" s="28"/>
      <c r="D88" s="29"/>
      <c r="E88" s="29"/>
      <c r="F88" s="30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28"/>
      <c r="C89" s="28"/>
      <c r="D89" s="29"/>
      <c r="E89" s="29"/>
      <c r="F89" s="3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28"/>
      <c r="C90" s="28"/>
      <c r="D90" s="29"/>
      <c r="E90" s="29"/>
      <c r="F90" s="3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28"/>
      <c r="C91" s="28"/>
      <c r="D91" s="29"/>
      <c r="E91" s="29"/>
      <c r="F91" s="3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28"/>
      <c r="C92" s="28"/>
      <c r="D92" s="29"/>
      <c r="E92" s="29"/>
      <c r="F92" s="3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28"/>
      <c r="C93" s="28"/>
      <c r="D93" s="29"/>
      <c r="E93" s="29"/>
      <c r="F93" s="3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28"/>
      <c r="C94" s="28"/>
      <c r="D94" s="29"/>
      <c r="E94" s="29"/>
      <c r="F94" s="30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28"/>
      <c r="C95" s="28"/>
      <c r="D95" s="29"/>
      <c r="E95" s="29"/>
      <c r="F95" s="3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28"/>
      <c r="C96" s="28"/>
      <c r="D96" s="29"/>
      <c r="E96" s="29"/>
      <c r="F96" s="3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28"/>
      <c r="C97" s="28"/>
      <c r="D97" s="29"/>
      <c r="E97" s="29"/>
      <c r="F97" s="3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28"/>
      <c r="C98" s="28"/>
      <c r="D98" s="29"/>
      <c r="E98" s="29"/>
      <c r="F98" s="3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28"/>
      <c r="C99" s="28"/>
      <c r="D99" s="29"/>
      <c r="E99" s="29"/>
      <c r="F99" s="3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28"/>
      <c r="C100" s="28"/>
      <c r="D100" s="29"/>
      <c r="E100" s="29"/>
      <c r="F100" s="3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28"/>
      <c r="C101" s="28"/>
      <c r="D101" s="29"/>
      <c r="E101" s="29"/>
      <c r="F101" s="30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28"/>
      <c r="C102" s="28"/>
      <c r="D102" s="29"/>
      <c r="E102" s="29"/>
      <c r="F102" s="3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28"/>
      <c r="C103" s="28"/>
      <c r="D103" s="29"/>
      <c r="E103" s="29"/>
      <c r="F103" s="3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28"/>
      <c r="C104" s="28"/>
      <c r="D104" s="29"/>
      <c r="E104" s="29"/>
      <c r="F104" s="3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28"/>
      <c r="C105" s="28"/>
      <c r="D105" s="29"/>
      <c r="E105" s="29"/>
      <c r="F105" s="30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28"/>
      <c r="C106" s="28"/>
      <c r="D106" s="29"/>
      <c r="E106" s="29"/>
      <c r="F106" s="30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28"/>
      <c r="C107" s="28"/>
      <c r="D107" s="29"/>
      <c r="E107" s="29"/>
      <c r="F107" s="30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28"/>
      <c r="C108" s="28"/>
      <c r="D108" s="29"/>
      <c r="E108" s="29"/>
      <c r="F108" s="30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28"/>
      <c r="C109" s="28"/>
      <c r="D109" s="29"/>
      <c r="E109" s="29"/>
      <c r="F109" s="30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28"/>
      <c r="C110" s="28"/>
      <c r="D110" s="29"/>
      <c r="E110" s="29"/>
      <c r="F110" s="30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28"/>
      <c r="C111" s="28"/>
      <c r="D111" s="29"/>
      <c r="E111" s="29"/>
      <c r="F111" s="30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28"/>
      <c r="C112" s="28"/>
      <c r="D112" s="29"/>
      <c r="E112" s="29"/>
      <c r="F112" s="30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28"/>
      <c r="C113" s="28"/>
      <c r="D113" s="29"/>
      <c r="E113" s="29"/>
      <c r="F113" s="30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28"/>
      <c r="C114" s="28"/>
      <c r="D114" s="29"/>
      <c r="E114" s="29"/>
      <c r="F114" s="30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28"/>
      <c r="C115" s="28"/>
      <c r="D115" s="29"/>
      <c r="E115" s="29"/>
      <c r="F115" s="30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28"/>
      <c r="C116" s="28"/>
      <c r="D116" s="29"/>
      <c r="E116" s="29"/>
      <c r="F116" s="30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28"/>
      <c r="C117" s="28"/>
      <c r="D117" s="29"/>
      <c r="E117" s="29"/>
      <c r="F117" s="30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28"/>
      <c r="C118" s="28"/>
      <c r="D118" s="29"/>
      <c r="E118" s="29"/>
      <c r="F118" s="30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28"/>
      <c r="C119" s="28"/>
      <c r="D119" s="29"/>
      <c r="E119" s="29"/>
      <c r="F119" s="30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28"/>
      <c r="C120" s="28"/>
      <c r="D120" s="29"/>
      <c r="E120" s="29"/>
      <c r="F120" s="30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28"/>
      <c r="C121" s="28"/>
      <c r="D121" s="29"/>
      <c r="E121" s="29"/>
      <c r="F121" s="30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28"/>
      <c r="C122" s="28"/>
      <c r="D122" s="29"/>
      <c r="E122" s="29"/>
      <c r="F122" s="30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28"/>
      <c r="C123" s="28"/>
      <c r="D123" s="29"/>
      <c r="E123" s="29"/>
      <c r="F123" s="30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28"/>
      <c r="C124" s="28"/>
      <c r="D124" s="29"/>
      <c r="E124" s="29"/>
      <c r="F124" s="30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28"/>
      <c r="C125" s="28"/>
      <c r="D125" s="29"/>
      <c r="E125" s="29"/>
      <c r="F125" s="30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28"/>
      <c r="C126" s="28"/>
      <c r="D126" s="29"/>
      <c r="E126" s="29"/>
      <c r="F126" s="30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28"/>
      <c r="C127" s="28"/>
      <c r="D127" s="29"/>
      <c r="E127" s="29"/>
      <c r="F127" s="30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28"/>
      <c r="C128" s="28"/>
      <c r="D128" s="29"/>
      <c r="E128" s="29"/>
      <c r="F128" s="30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28"/>
      <c r="C129" s="28"/>
      <c r="D129" s="29"/>
      <c r="E129" s="29"/>
      <c r="F129" s="30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28"/>
      <c r="C130" s="28"/>
      <c r="D130" s="29"/>
      <c r="E130" s="29"/>
      <c r="F130" s="30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28"/>
      <c r="C131" s="28"/>
      <c r="D131" s="29"/>
      <c r="E131" s="29"/>
      <c r="F131" s="30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28"/>
      <c r="C132" s="28"/>
      <c r="D132" s="29"/>
      <c r="E132" s="29"/>
      <c r="F132" s="30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28"/>
      <c r="C133" s="28"/>
      <c r="D133" s="29"/>
      <c r="E133" s="29"/>
      <c r="F133" s="30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28"/>
      <c r="C134" s="28"/>
      <c r="D134" s="29"/>
      <c r="E134" s="29"/>
      <c r="F134" s="30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28"/>
      <c r="C135" s="28"/>
      <c r="D135" s="29"/>
      <c r="E135" s="29"/>
      <c r="F135" s="30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28"/>
      <c r="C136" s="28"/>
      <c r="D136" s="29"/>
      <c r="E136" s="29"/>
      <c r="F136" s="30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28"/>
      <c r="C137" s="28"/>
      <c r="D137" s="29"/>
      <c r="E137" s="29"/>
      <c r="F137" s="3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28"/>
      <c r="C138" s="28"/>
      <c r="D138" s="29"/>
      <c r="E138" s="29"/>
      <c r="F138" s="30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28"/>
      <c r="C139" s="28"/>
      <c r="D139" s="29"/>
      <c r="E139" s="29"/>
      <c r="F139" s="30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28"/>
      <c r="C140" s="28"/>
      <c r="D140" s="29"/>
      <c r="E140" s="29"/>
      <c r="F140" s="30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28"/>
      <c r="C141" s="28"/>
      <c r="D141" s="29"/>
      <c r="E141" s="29"/>
      <c r="F141" s="30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28"/>
      <c r="C142" s="28"/>
      <c r="D142" s="29"/>
      <c r="E142" s="29"/>
      <c r="F142" s="30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28"/>
      <c r="C143" s="28"/>
      <c r="D143" s="29"/>
      <c r="E143" s="29"/>
      <c r="F143" s="30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28"/>
      <c r="C144" s="28"/>
      <c r="D144" s="29"/>
      <c r="E144" s="29"/>
      <c r="F144" s="3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28"/>
      <c r="C145" s="28"/>
      <c r="D145" s="29"/>
      <c r="E145" s="29"/>
      <c r="F145" s="3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28"/>
      <c r="C146" s="28"/>
      <c r="D146" s="29"/>
      <c r="E146" s="29"/>
      <c r="F146" s="3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28"/>
      <c r="C147" s="28"/>
      <c r="D147" s="29"/>
      <c r="E147" s="29"/>
      <c r="F147" s="3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28"/>
      <c r="C148" s="28"/>
      <c r="D148" s="29"/>
      <c r="E148" s="29"/>
      <c r="F148" s="3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28"/>
      <c r="C149" s="28"/>
      <c r="D149" s="29"/>
      <c r="E149" s="29"/>
      <c r="F149" s="3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28"/>
      <c r="C150" s="28"/>
      <c r="D150" s="29"/>
      <c r="E150" s="29"/>
      <c r="F150" s="3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28"/>
      <c r="C151" s="28"/>
      <c r="D151" s="29"/>
      <c r="E151" s="29"/>
      <c r="F151" s="3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28"/>
      <c r="C152" s="28"/>
      <c r="D152" s="29"/>
      <c r="E152" s="29"/>
      <c r="F152" s="3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28"/>
      <c r="C153" s="28"/>
      <c r="D153" s="29"/>
      <c r="E153" s="29"/>
      <c r="F153" s="30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28"/>
      <c r="C154" s="28"/>
      <c r="D154" s="29"/>
      <c r="E154" s="29"/>
      <c r="F154" s="3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28"/>
      <c r="C155" s="28"/>
      <c r="D155" s="29"/>
      <c r="E155" s="29"/>
      <c r="F155" s="30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28"/>
      <c r="C156" s="28"/>
      <c r="D156" s="29"/>
      <c r="E156" s="29"/>
      <c r="F156" s="30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28"/>
      <c r="C157" s="28"/>
      <c r="D157" s="29"/>
      <c r="E157" s="29"/>
      <c r="F157" s="30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28"/>
      <c r="C158" s="28"/>
      <c r="D158" s="29"/>
      <c r="E158" s="29"/>
      <c r="F158" s="30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28"/>
      <c r="C159" s="28"/>
      <c r="D159" s="29"/>
      <c r="E159" s="29"/>
      <c r="F159" s="30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28"/>
      <c r="C160" s="28"/>
      <c r="D160" s="29"/>
      <c r="E160" s="29"/>
      <c r="F160" s="30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28"/>
      <c r="C161" s="28"/>
      <c r="D161" s="29"/>
      <c r="E161" s="29"/>
      <c r="F161" s="30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28"/>
      <c r="C162" s="28"/>
      <c r="D162" s="29"/>
      <c r="E162" s="29"/>
      <c r="F162" s="30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28"/>
      <c r="C163" s="28"/>
      <c r="D163" s="29"/>
      <c r="E163" s="29"/>
      <c r="F163" s="30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28"/>
      <c r="C164" s="28"/>
      <c r="D164" s="29"/>
      <c r="E164" s="29"/>
      <c r="F164" s="30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28"/>
      <c r="C165" s="28"/>
      <c r="D165" s="29"/>
      <c r="E165" s="29"/>
      <c r="F165" s="30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28"/>
      <c r="C166" s="28"/>
      <c r="D166" s="29"/>
      <c r="E166" s="29"/>
      <c r="F166" s="30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28"/>
      <c r="C167" s="28"/>
      <c r="D167" s="29"/>
      <c r="E167" s="29"/>
      <c r="F167" s="30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28"/>
      <c r="C168" s="28"/>
      <c r="D168" s="29"/>
      <c r="E168" s="29"/>
      <c r="F168" s="30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28"/>
      <c r="C169" s="28"/>
      <c r="D169" s="29"/>
      <c r="E169" s="29"/>
      <c r="F169" s="30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28"/>
      <c r="C170" s="28"/>
      <c r="D170" s="29"/>
      <c r="E170" s="29"/>
      <c r="F170" s="30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28"/>
      <c r="C171" s="28"/>
      <c r="D171" s="29"/>
      <c r="E171" s="29"/>
      <c r="F171" s="30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28"/>
      <c r="C172" s="28"/>
      <c r="D172" s="29"/>
      <c r="E172" s="29"/>
      <c r="F172" s="30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28"/>
      <c r="C173" s="28"/>
      <c r="D173" s="29"/>
      <c r="E173" s="29"/>
      <c r="F173" s="30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28"/>
      <c r="C174" s="28"/>
      <c r="D174" s="29"/>
      <c r="E174" s="29"/>
      <c r="F174" s="30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28"/>
      <c r="C175" s="28"/>
      <c r="D175" s="29"/>
      <c r="E175" s="29"/>
      <c r="F175" s="30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28"/>
      <c r="C176" s="28"/>
      <c r="D176" s="29"/>
      <c r="E176" s="29"/>
      <c r="F176" s="30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28"/>
      <c r="C177" s="28"/>
      <c r="D177" s="29"/>
      <c r="E177" s="29"/>
      <c r="F177" s="30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28"/>
      <c r="C178" s="28"/>
      <c r="D178" s="29"/>
      <c r="E178" s="29"/>
      <c r="F178" s="30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28"/>
      <c r="C179" s="28"/>
      <c r="D179" s="29"/>
      <c r="E179" s="29"/>
      <c r="F179" s="30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28"/>
      <c r="C180" s="28"/>
      <c r="D180" s="29"/>
      <c r="E180" s="29"/>
      <c r="F180" s="30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28"/>
      <c r="C181" s="28"/>
      <c r="D181" s="29"/>
      <c r="E181" s="29"/>
      <c r="F181" s="30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28"/>
      <c r="C182" s="28"/>
      <c r="D182" s="29"/>
      <c r="E182" s="29"/>
      <c r="F182" s="30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28"/>
      <c r="C183" s="28"/>
      <c r="D183" s="29"/>
      <c r="E183" s="29"/>
      <c r="F183" s="30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28"/>
      <c r="C184" s="28"/>
      <c r="D184" s="29"/>
      <c r="E184" s="29"/>
      <c r="F184" s="30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28"/>
      <c r="C185" s="28"/>
      <c r="D185" s="29"/>
      <c r="E185" s="29"/>
      <c r="F185" s="30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28"/>
      <c r="C186" s="28"/>
      <c r="D186" s="29"/>
      <c r="E186" s="29"/>
      <c r="F186" s="30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28"/>
      <c r="C187" s="28"/>
      <c r="D187" s="29"/>
      <c r="E187" s="29"/>
      <c r="F187" s="3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28"/>
      <c r="C188" s="28"/>
      <c r="D188" s="29"/>
      <c r="E188" s="29"/>
      <c r="F188" s="30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28"/>
      <c r="C189" s="28"/>
      <c r="D189" s="29"/>
      <c r="E189" s="29"/>
      <c r="F189" s="30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28"/>
      <c r="C190" s="28"/>
      <c r="D190" s="29"/>
      <c r="E190" s="29"/>
      <c r="F190" s="30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28"/>
      <c r="C191" s="28"/>
      <c r="D191" s="29"/>
      <c r="E191" s="29"/>
      <c r="F191" s="30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28"/>
      <c r="C192" s="28"/>
      <c r="D192" s="29"/>
      <c r="E192" s="29"/>
      <c r="F192" s="30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28"/>
      <c r="C193" s="28"/>
      <c r="D193" s="29"/>
      <c r="E193" s="29"/>
      <c r="F193" s="30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28"/>
      <c r="C194" s="28"/>
      <c r="D194" s="29"/>
      <c r="E194" s="29"/>
      <c r="F194" s="30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28"/>
      <c r="C195" s="28"/>
      <c r="D195" s="29"/>
      <c r="E195" s="29"/>
      <c r="F195" s="30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28"/>
      <c r="C196" s="28"/>
      <c r="D196" s="29"/>
      <c r="E196" s="29"/>
      <c r="F196" s="30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28"/>
      <c r="C197" s="28"/>
      <c r="D197" s="29"/>
      <c r="E197" s="29"/>
      <c r="F197" s="30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28"/>
      <c r="C198" s="28"/>
      <c r="D198" s="29"/>
      <c r="E198" s="29"/>
      <c r="F198" s="30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28"/>
      <c r="C199" s="28"/>
      <c r="D199" s="29"/>
      <c r="E199" s="29"/>
      <c r="F199" s="30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28"/>
      <c r="C200" s="28"/>
      <c r="D200" s="29"/>
      <c r="E200" s="29"/>
      <c r="F200" s="30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28"/>
      <c r="C201" s="28"/>
      <c r="D201" s="29"/>
      <c r="E201" s="29"/>
      <c r="F201" s="30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28"/>
      <c r="C202" s="28"/>
      <c r="D202" s="29"/>
      <c r="E202" s="29"/>
      <c r="F202" s="30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28"/>
      <c r="C203" s="28"/>
      <c r="D203" s="29"/>
      <c r="E203" s="29"/>
      <c r="F203" s="30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28"/>
      <c r="C204" s="28"/>
      <c r="D204" s="29"/>
      <c r="E204" s="29"/>
      <c r="F204" s="30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28"/>
      <c r="C205" s="28"/>
      <c r="D205" s="29"/>
      <c r="E205" s="29"/>
      <c r="F205" s="30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28"/>
      <c r="C206" s="28"/>
      <c r="D206" s="29"/>
      <c r="E206" s="29"/>
      <c r="F206" s="30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28"/>
      <c r="C207" s="28"/>
      <c r="D207" s="29"/>
      <c r="E207" s="29"/>
      <c r="F207" s="30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28"/>
      <c r="C208" s="28"/>
      <c r="D208" s="29"/>
      <c r="E208" s="29"/>
      <c r="F208" s="30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28"/>
      <c r="C209" s="28"/>
      <c r="D209" s="29"/>
      <c r="E209" s="29"/>
      <c r="F209" s="30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28"/>
      <c r="C210" s="28"/>
      <c r="D210" s="29"/>
      <c r="E210" s="29"/>
      <c r="F210" s="30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28"/>
      <c r="C211" s="28"/>
      <c r="D211" s="29"/>
      <c r="E211" s="29"/>
      <c r="F211" s="30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28"/>
      <c r="C212" s="28"/>
      <c r="D212" s="29"/>
      <c r="E212" s="29"/>
      <c r="F212" s="30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28"/>
      <c r="C213" s="28"/>
      <c r="D213" s="29"/>
      <c r="E213" s="29"/>
      <c r="F213" s="30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28"/>
      <c r="C214" s="28"/>
      <c r="D214" s="29"/>
      <c r="E214" s="29"/>
      <c r="F214" s="30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28"/>
      <c r="C215" s="28"/>
      <c r="D215" s="29"/>
      <c r="E215" s="29"/>
      <c r="F215" s="30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28"/>
      <c r="C216" s="28"/>
      <c r="D216" s="29"/>
      <c r="E216" s="29"/>
      <c r="F216" s="30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28"/>
      <c r="C217" s="28"/>
      <c r="D217" s="29"/>
      <c r="E217" s="29"/>
      <c r="F217" s="30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28"/>
      <c r="C218" s="28"/>
      <c r="D218" s="29"/>
      <c r="E218" s="29"/>
      <c r="F218" s="30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28"/>
      <c r="C219" s="28"/>
      <c r="D219" s="29"/>
      <c r="E219" s="29"/>
      <c r="F219" s="30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28"/>
      <c r="C220" s="28"/>
      <c r="D220" s="29"/>
      <c r="E220" s="29"/>
      <c r="F220" s="30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28"/>
      <c r="C221" s="28"/>
      <c r="D221" s="29"/>
      <c r="E221" s="29"/>
      <c r="F221" s="30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28"/>
      <c r="C222" s="28"/>
      <c r="D222" s="29"/>
      <c r="E222" s="29"/>
      <c r="F222" s="30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28"/>
      <c r="C223" s="28"/>
      <c r="D223" s="29"/>
      <c r="E223" s="29"/>
      <c r="F223" s="30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28"/>
      <c r="C224" s="28"/>
      <c r="D224" s="29"/>
      <c r="E224" s="29"/>
      <c r="F224" s="30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28"/>
      <c r="C225" s="28"/>
      <c r="D225" s="29"/>
      <c r="E225" s="29"/>
      <c r="F225" s="30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28"/>
      <c r="C226" s="28"/>
      <c r="D226" s="29"/>
      <c r="E226" s="29"/>
      <c r="F226" s="30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28"/>
      <c r="C227" s="28"/>
      <c r="D227" s="29"/>
      <c r="E227" s="29"/>
      <c r="F227" s="30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28"/>
      <c r="C228" s="28"/>
      <c r="D228" s="29"/>
      <c r="E228" s="29"/>
      <c r="F228" s="30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28"/>
      <c r="C229" s="28"/>
      <c r="D229" s="29"/>
      <c r="E229" s="29"/>
      <c r="F229" s="30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28"/>
      <c r="C230" s="28"/>
      <c r="D230" s="29"/>
      <c r="E230" s="29"/>
      <c r="F230" s="30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28"/>
      <c r="C231" s="28"/>
      <c r="D231" s="29"/>
      <c r="E231" s="29"/>
      <c r="F231" s="30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28"/>
      <c r="C232" s="28"/>
      <c r="D232" s="29"/>
      <c r="E232" s="29"/>
      <c r="F232" s="30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28"/>
      <c r="C233" s="28"/>
      <c r="D233" s="29"/>
      <c r="E233" s="29"/>
      <c r="F233" s="30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28"/>
      <c r="C234" s="28"/>
      <c r="D234" s="29"/>
      <c r="E234" s="29"/>
      <c r="F234" s="30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28"/>
      <c r="C235" s="28"/>
      <c r="D235" s="29"/>
      <c r="E235" s="29"/>
      <c r="F235" s="30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28"/>
      <c r="C236" s="28"/>
      <c r="D236" s="29"/>
      <c r="E236" s="29"/>
      <c r="F236" s="30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28"/>
      <c r="C237" s="28"/>
      <c r="D237" s="29"/>
      <c r="E237" s="29"/>
      <c r="F237" s="30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28"/>
      <c r="C238" s="28"/>
      <c r="D238" s="29"/>
      <c r="E238" s="29"/>
      <c r="F238" s="30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28"/>
      <c r="C239" s="28"/>
      <c r="D239" s="29"/>
      <c r="E239" s="29"/>
      <c r="F239" s="30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28"/>
      <c r="C240" s="28"/>
      <c r="D240" s="29"/>
      <c r="E240" s="29"/>
      <c r="F240" s="30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28"/>
      <c r="C241" s="28"/>
      <c r="D241" s="29"/>
      <c r="E241" s="29"/>
      <c r="F241" s="30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28"/>
      <c r="C242" s="28"/>
      <c r="D242" s="29"/>
      <c r="E242" s="29"/>
      <c r="F242" s="30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28"/>
      <c r="C243" s="28"/>
      <c r="D243" s="29"/>
      <c r="E243" s="29"/>
      <c r="F243" s="30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28"/>
      <c r="C244" s="28"/>
      <c r="D244" s="29"/>
      <c r="E244" s="29"/>
      <c r="F244" s="30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28"/>
      <c r="C245" s="28"/>
      <c r="D245" s="29"/>
      <c r="E245" s="29"/>
      <c r="F245" s="30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28"/>
      <c r="C246" s="28"/>
      <c r="D246" s="29"/>
      <c r="E246" s="29"/>
      <c r="F246" s="30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28"/>
      <c r="C247" s="28"/>
      <c r="D247" s="29"/>
      <c r="E247" s="29"/>
      <c r="F247" s="30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28"/>
      <c r="C248" s="28"/>
      <c r="D248" s="29"/>
      <c r="E248" s="29"/>
      <c r="F248" s="30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28"/>
      <c r="C249" s="28"/>
      <c r="D249" s="29"/>
      <c r="E249" s="29"/>
      <c r="F249" s="30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28"/>
      <c r="C250" s="28"/>
      <c r="D250" s="29"/>
      <c r="E250" s="29"/>
      <c r="F250" s="30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28"/>
      <c r="C251" s="28"/>
      <c r="D251" s="29"/>
      <c r="E251" s="29"/>
      <c r="F251" s="30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28"/>
      <c r="C252" s="28"/>
      <c r="D252" s="29"/>
      <c r="E252" s="29"/>
      <c r="F252" s="30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28"/>
      <c r="C253" s="28"/>
      <c r="D253" s="29"/>
      <c r="E253" s="29"/>
      <c r="F253" s="30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28"/>
      <c r="C254" s="28"/>
      <c r="D254" s="29"/>
      <c r="E254" s="29"/>
      <c r="F254" s="30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28"/>
      <c r="C255" s="28"/>
      <c r="D255" s="29"/>
      <c r="E255" s="29"/>
      <c r="F255" s="3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28"/>
      <c r="C256" s="28"/>
      <c r="D256" s="29"/>
      <c r="E256" s="29"/>
      <c r="F256" s="30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28"/>
      <c r="C257" s="28"/>
      <c r="D257" s="29"/>
      <c r="E257" s="29"/>
      <c r="F257" s="30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28"/>
      <c r="C258" s="28"/>
      <c r="D258" s="29"/>
      <c r="E258" s="29"/>
      <c r="F258" s="30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28"/>
      <c r="C259" s="28"/>
      <c r="D259" s="28"/>
      <c r="E259" s="28"/>
      <c r="F259" s="30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28"/>
      <c r="C260" s="28"/>
      <c r="D260" s="28"/>
      <c r="E260" s="28"/>
      <c r="F260" s="30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28"/>
      <c r="C261" s="28"/>
      <c r="D261" s="28"/>
      <c r="E261" s="28"/>
      <c r="F261" s="30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28"/>
      <c r="C262" s="28"/>
      <c r="D262" s="28"/>
      <c r="E262" s="28"/>
      <c r="F262" s="30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28"/>
      <c r="C263" s="28"/>
      <c r="D263" s="28"/>
      <c r="E263" s="28"/>
      <c r="F263" s="30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28"/>
      <c r="C264" s="28"/>
      <c r="D264" s="28"/>
      <c r="E264" s="28"/>
      <c r="F264" s="30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28"/>
      <c r="C265" s="28"/>
      <c r="D265" s="28"/>
      <c r="E265" s="28"/>
      <c r="F265" s="30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28"/>
      <c r="C266" s="28"/>
      <c r="D266" s="28"/>
      <c r="E266" s="28"/>
      <c r="F266" s="30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28"/>
      <c r="C267" s="28"/>
      <c r="D267" s="28"/>
      <c r="E267" s="28"/>
      <c r="F267" s="30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28"/>
      <c r="C268" s="28"/>
      <c r="D268" s="28"/>
      <c r="E268" s="28"/>
      <c r="F268" s="30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28"/>
      <c r="C269" s="28"/>
      <c r="D269" s="28"/>
      <c r="E269" s="28"/>
      <c r="F269" s="30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28"/>
      <c r="C270" s="28"/>
      <c r="D270" s="28"/>
      <c r="E270" s="28"/>
      <c r="F270" s="30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28"/>
      <c r="C271" s="28"/>
      <c r="D271" s="28"/>
      <c r="E271" s="28"/>
      <c r="F271" s="30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28"/>
      <c r="C272" s="28"/>
      <c r="D272" s="28"/>
      <c r="E272" s="28"/>
      <c r="F272" s="30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28"/>
      <c r="C273" s="28"/>
      <c r="D273" s="28"/>
      <c r="E273" s="28"/>
      <c r="F273" s="30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28"/>
      <c r="C274" s="28"/>
      <c r="D274" s="28"/>
      <c r="E274" s="28"/>
      <c r="F274" s="30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28"/>
      <c r="C275" s="28"/>
      <c r="D275" s="28"/>
      <c r="E275" s="28"/>
      <c r="F275" s="30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28"/>
      <c r="C276" s="28"/>
      <c r="D276" s="28"/>
      <c r="E276" s="28"/>
      <c r="F276" s="30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28"/>
      <c r="C277" s="28"/>
      <c r="D277" s="28"/>
      <c r="E277" s="28"/>
      <c r="F277" s="30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28"/>
      <c r="C278" s="28"/>
      <c r="D278" s="28"/>
      <c r="E278" s="28"/>
      <c r="F278" s="30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28"/>
      <c r="C279" s="28"/>
      <c r="D279" s="28"/>
      <c r="E279" s="28"/>
      <c r="F279" s="30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28"/>
      <c r="C280" s="28"/>
      <c r="D280" s="28"/>
      <c r="E280" s="28"/>
      <c r="F280" s="30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28"/>
      <c r="C281" s="28"/>
      <c r="D281" s="28"/>
      <c r="E281" s="28"/>
      <c r="F281" s="30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28"/>
      <c r="C282" s="28"/>
      <c r="D282" s="28"/>
      <c r="E282" s="28"/>
      <c r="F282" s="30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28"/>
      <c r="C283" s="28"/>
      <c r="D283" s="28"/>
      <c r="E283" s="28"/>
      <c r="F283" s="30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28"/>
      <c r="C284" s="28"/>
      <c r="D284" s="28"/>
      <c r="E284" s="28"/>
      <c r="F284" s="30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28"/>
      <c r="C285" s="28"/>
      <c r="D285" s="28"/>
      <c r="E285" s="28"/>
      <c r="F285" s="30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28"/>
      <c r="C286" s="28"/>
      <c r="D286" s="28"/>
      <c r="E286" s="28"/>
      <c r="F286" s="30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28"/>
      <c r="C287" s="28"/>
      <c r="D287" s="28"/>
      <c r="E287" s="28"/>
      <c r="F287" s="30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28"/>
      <c r="C288" s="28"/>
      <c r="D288" s="28"/>
      <c r="E288" s="28"/>
      <c r="F288" s="30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28"/>
      <c r="C289" s="28"/>
      <c r="D289" s="28"/>
      <c r="E289" s="28"/>
      <c r="F289" s="30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28"/>
      <c r="C290" s="28"/>
      <c r="D290" s="28"/>
      <c r="E290" s="28"/>
      <c r="F290" s="30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28"/>
      <c r="C291" s="28"/>
      <c r="D291" s="28"/>
      <c r="E291" s="28"/>
      <c r="F291" s="30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28"/>
      <c r="C292" s="28"/>
      <c r="D292" s="28"/>
      <c r="E292" s="28"/>
      <c r="F292" s="30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28"/>
      <c r="C293" s="28"/>
      <c r="D293" s="28"/>
      <c r="E293" s="28"/>
      <c r="F293" s="30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28"/>
      <c r="C294" s="28"/>
      <c r="D294" s="28"/>
      <c r="E294" s="28"/>
      <c r="F294" s="30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28"/>
      <c r="C295" s="28"/>
      <c r="D295" s="28"/>
      <c r="E295" s="28"/>
      <c r="F295" s="30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28"/>
      <c r="C296" s="28"/>
      <c r="D296" s="28"/>
      <c r="E296" s="28"/>
      <c r="F296" s="30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28"/>
      <c r="C297" s="28"/>
      <c r="D297" s="28"/>
      <c r="E297" s="28"/>
      <c r="F297" s="30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28"/>
      <c r="C298" s="28"/>
      <c r="D298" s="28"/>
      <c r="E298" s="28"/>
      <c r="F298" s="30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28"/>
      <c r="C299" s="28"/>
      <c r="D299" s="28"/>
      <c r="E299" s="28"/>
      <c r="F299" s="30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28"/>
      <c r="C300" s="28"/>
      <c r="D300" s="28"/>
      <c r="E300" s="28"/>
      <c r="F300" s="30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28"/>
      <c r="C301" s="28"/>
      <c r="D301" s="28"/>
      <c r="E301" s="28"/>
      <c r="F301" s="30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28"/>
      <c r="C302" s="28"/>
      <c r="D302" s="28"/>
      <c r="E302" s="28"/>
      <c r="F302" s="30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28"/>
      <c r="C303" s="28"/>
      <c r="D303" s="28"/>
      <c r="E303" s="28"/>
      <c r="F303" s="30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28"/>
      <c r="C304" s="28"/>
      <c r="D304" s="28"/>
      <c r="E304" s="28"/>
      <c r="F304" s="30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28"/>
      <c r="C305" s="28"/>
      <c r="D305" s="28"/>
      <c r="E305" s="28"/>
      <c r="F305" s="30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28"/>
      <c r="C306" s="28"/>
      <c r="D306" s="28"/>
      <c r="E306" s="28"/>
      <c r="F306" s="30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28"/>
      <c r="C307" s="28"/>
      <c r="D307" s="28"/>
      <c r="E307" s="28"/>
      <c r="F307" s="30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28"/>
      <c r="C308" s="28"/>
      <c r="D308" s="28"/>
      <c r="E308" s="28"/>
      <c r="F308" s="30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28"/>
      <c r="C309" s="28"/>
      <c r="D309" s="28"/>
      <c r="E309" s="28"/>
      <c r="F309" s="30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28"/>
      <c r="C310" s="28"/>
      <c r="D310" s="28"/>
      <c r="E310" s="28"/>
      <c r="F310" s="30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28"/>
      <c r="C311" s="28"/>
      <c r="D311" s="28"/>
      <c r="E311" s="28"/>
      <c r="F311" s="30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28"/>
      <c r="C312" s="28"/>
      <c r="D312" s="28"/>
      <c r="E312" s="28"/>
      <c r="F312" s="30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28"/>
      <c r="C313" s="28"/>
      <c r="D313" s="28"/>
      <c r="E313" s="28"/>
      <c r="F313" s="30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28"/>
      <c r="C314" s="28"/>
      <c r="D314" s="28"/>
      <c r="E314" s="28"/>
      <c r="F314" s="30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28"/>
      <c r="C315" s="28"/>
      <c r="D315" s="28"/>
      <c r="E315" s="28"/>
      <c r="F315" s="30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28"/>
      <c r="C316" s="28"/>
      <c r="D316" s="28"/>
      <c r="E316" s="28"/>
      <c r="F316" s="30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28"/>
      <c r="C317" s="28"/>
      <c r="D317" s="28"/>
      <c r="E317" s="28"/>
      <c r="F317" s="30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28"/>
      <c r="C318" s="28"/>
      <c r="D318" s="28"/>
      <c r="E318" s="28"/>
      <c r="F318" s="30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28"/>
      <c r="C319" s="28"/>
      <c r="D319" s="28"/>
      <c r="E319" s="28"/>
      <c r="F319" s="30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28"/>
      <c r="C320" s="28"/>
      <c r="D320" s="28"/>
      <c r="E320" s="28"/>
      <c r="F320" s="30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28"/>
      <c r="C321" s="28"/>
      <c r="D321" s="28"/>
      <c r="E321" s="28"/>
      <c r="F321" s="30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28"/>
      <c r="C322" s="28"/>
      <c r="D322" s="28"/>
      <c r="E322" s="28"/>
      <c r="F322" s="30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28"/>
      <c r="C323" s="28"/>
      <c r="D323" s="28"/>
      <c r="E323" s="28"/>
      <c r="F323" s="30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28"/>
      <c r="C324" s="28"/>
      <c r="D324" s="28"/>
      <c r="E324" s="28"/>
      <c r="F324" s="30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28"/>
      <c r="C325" s="28"/>
      <c r="D325" s="28"/>
      <c r="E325" s="28"/>
      <c r="F325" s="30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28"/>
      <c r="C326" s="28"/>
      <c r="D326" s="28"/>
      <c r="E326" s="28"/>
      <c r="F326" s="30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28"/>
      <c r="C327" s="28"/>
      <c r="D327" s="28"/>
      <c r="E327" s="28"/>
      <c r="F327" s="30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28"/>
      <c r="C328" s="28"/>
      <c r="D328" s="28"/>
      <c r="E328" s="28"/>
      <c r="F328" s="30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28"/>
      <c r="C329" s="28"/>
      <c r="D329" s="28"/>
      <c r="E329" s="28"/>
      <c r="F329" s="30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28"/>
      <c r="C330" s="28"/>
      <c r="D330" s="28"/>
      <c r="E330" s="28"/>
      <c r="F330" s="30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28"/>
      <c r="C331" s="28"/>
      <c r="D331" s="28"/>
      <c r="E331" s="28"/>
      <c r="F331" s="30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28"/>
      <c r="C332" s="28"/>
      <c r="D332" s="28"/>
      <c r="E332" s="28"/>
      <c r="F332" s="30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28"/>
      <c r="C333" s="28"/>
      <c r="D333" s="28"/>
      <c r="E333" s="28"/>
      <c r="F333" s="30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28"/>
      <c r="C334" s="28"/>
      <c r="D334" s="28"/>
      <c r="E334" s="28"/>
      <c r="F334" s="30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28"/>
      <c r="C335" s="28"/>
      <c r="D335" s="28"/>
      <c r="E335" s="28"/>
      <c r="F335" s="30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28"/>
      <c r="C336" s="28"/>
      <c r="D336" s="28"/>
      <c r="E336" s="28"/>
      <c r="F336" s="30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28"/>
      <c r="C337" s="28"/>
      <c r="D337" s="28"/>
      <c r="E337" s="28"/>
      <c r="F337" s="30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28"/>
      <c r="C338" s="28"/>
      <c r="D338" s="28"/>
      <c r="E338" s="28"/>
      <c r="F338" s="30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28"/>
      <c r="C339" s="28"/>
      <c r="D339" s="28"/>
      <c r="E339" s="28"/>
      <c r="F339" s="30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28"/>
      <c r="C340" s="28"/>
      <c r="D340" s="28"/>
      <c r="E340" s="28"/>
      <c r="F340" s="30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28"/>
      <c r="C341" s="28"/>
      <c r="D341" s="28"/>
      <c r="E341" s="28"/>
      <c r="F341" s="30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28"/>
      <c r="C342" s="28"/>
      <c r="D342" s="28"/>
      <c r="E342" s="28"/>
      <c r="F342" s="30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28"/>
      <c r="C343" s="28"/>
      <c r="D343" s="28"/>
      <c r="E343" s="28"/>
      <c r="F343" s="30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28"/>
      <c r="C344" s="28"/>
      <c r="D344" s="28"/>
      <c r="E344" s="28"/>
      <c r="F344" s="30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28"/>
      <c r="C345" s="28"/>
      <c r="D345" s="28"/>
      <c r="E345" s="28"/>
      <c r="F345" s="30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28"/>
      <c r="C346" s="28"/>
      <c r="D346" s="28"/>
      <c r="E346" s="28"/>
      <c r="F346" s="30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28"/>
      <c r="C347" s="28"/>
      <c r="D347" s="28"/>
      <c r="E347" s="28"/>
      <c r="F347" s="30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28"/>
      <c r="C348" s="28"/>
      <c r="D348" s="28"/>
      <c r="E348" s="28"/>
      <c r="F348" s="30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28"/>
      <c r="C349" s="28"/>
      <c r="D349" s="28"/>
      <c r="E349" s="28"/>
      <c r="F349" s="30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28"/>
      <c r="C350" s="28"/>
      <c r="D350" s="28"/>
      <c r="E350" s="28"/>
      <c r="F350" s="30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28"/>
      <c r="C351" s="28"/>
      <c r="D351" s="28"/>
      <c r="E351" s="28"/>
      <c r="F351" s="30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28"/>
      <c r="C352" s="28"/>
      <c r="D352" s="28"/>
      <c r="E352" s="28"/>
      <c r="F352" s="30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28"/>
      <c r="C353" s="28"/>
      <c r="D353" s="28"/>
      <c r="E353" s="28"/>
      <c r="F353" s="30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28"/>
      <c r="C354" s="28"/>
      <c r="D354" s="28"/>
      <c r="E354" s="28"/>
      <c r="F354" s="30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28"/>
      <c r="C355" s="28"/>
      <c r="D355" s="28"/>
      <c r="E355" s="28"/>
      <c r="F355" s="30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28"/>
      <c r="C356" s="28"/>
      <c r="D356" s="28"/>
      <c r="E356" s="28"/>
      <c r="F356" s="30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28"/>
      <c r="C357" s="28"/>
      <c r="D357" s="28"/>
      <c r="E357" s="28"/>
      <c r="F357" s="30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28"/>
      <c r="C358" s="28"/>
      <c r="D358" s="28"/>
      <c r="E358" s="28"/>
      <c r="F358" s="30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28"/>
      <c r="C359" s="28"/>
      <c r="D359" s="28"/>
      <c r="E359" s="28"/>
      <c r="F359" s="30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28"/>
      <c r="C360" s="28"/>
      <c r="D360" s="28"/>
      <c r="E360" s="28"/>
      <c r="F360" s="30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28"/>
      <c r="C361" s="28"/>
      <c r="D361" s="28"/>
      <c r="E361" s="28"/>
      <c r="F361" s="30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28"/>
      <c r="C362" s="28"/>
      <c r="D362" s="28"/>
      <c r="E362" s="28"/>
      <c r="F362" s="30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28"/>
      <c r="C363" s="28"/>
      <c r="D363" s="28"/>
      <c r="E363" s="28"/>
      <c r="F363" s="30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28"/>
      <c r="C364" s="28"/>
      <c r="D364" s="28"/>
      <c r="E364" s="28"/>
      <c r="F364" s="30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28"/>
      <c r="C365" s="28"/>
      <c r="D365" s="28"/>
      <c r="E365" s="28"/>
      <c r="F365" s="30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28"/>
      <c r="C366" s="28"/>
      <c r="D366" s="28"/>
      <c r="E366" s="28"/>
      <c r="F366" s="30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28"/>
      <c r="C367" s="28"/>
      <c r="D367" s="28"/>
      <c r="E367" s="28"/>
      <c r="F367" s="30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28"/>
      <c r="C368" s="28"/>
      <c r="D368" s="28"/>
      <c r="E368" s="28"/>
      <c r="F368" s="30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28"/>
      <c r="C369" s="28"/>
      <c r="D369" s="28"/>
      <c r="E369" s="28"/>
      <c r="F369" s="30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28"/>
      <c r="C370" s="28"/>
      <c r="D370" s="28"/>
      <c r="E370" s="28"/>
      <c r="F370" s="30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28"/>
      <c r="C371" s="28"/>
      <c r="D371" s="28"/>
      <c r="E371" s="28"/>
      <c r="F371" s="30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28"/>
      <c r="C372" s="28"/>
      <c r="D372" s="28"/>
      <c r="E372" s="28"/>
      <c r="F372" s="30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28"/>
      <c r="C373" s="28"/>
      <c r="D373" s="28"/>
      <c r="E373" s="28"/>
      <c r="F373" s="30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28"/>
      <c r="C374" s="28"/>
      <c r="D374" s="28"/>
      <c r="E374" s="28"/>
      <c r="F374" s="30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28"/>
      <c r="C375" s="28"/>
      <c r="D375" s="28"/>
      <c r="E375" s="28"/>
      <c r="F375" s="30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28"/>
      <c r="C376" s="28"/>
      <c r="D376" s="28"/>
      <c r="E376" s="28"/>
      <c r="F376" s="30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28"/>
      <c r="C377" s="28"/>
      <c r="D377" s="28"/>
      <c r="E377" s="28"/>
      <c r="F377" s="30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28"/>
      <c r="C378" s="28"/>
      <c r="D378" s="28"/>
      <c r="E378" s="28"/>
      <c r="F378" s="30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28"/>
      <c r="C379" s="28"/>
      <c r="D379" s="28"/>
      <c r="E379" s="28"/>
      <c r="F379" s="30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28"/>
      <c r="C380" s="28"/>
      <c r="D380" s="28"/>
      <c r="E380" s="28"/>
      <c r="F380" s="30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28"/>
      <c r="C381" s="28"/>
      <c r="D381" s="28"/>
      <c r="E381" s="28"/>
      <c r="F381" s="30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28"/>
      <c r="C382" s="28"/>
      <c r="D382" s="28"/>
      <c r="E382" s="28"/>
      <c r="F382" s="30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28"/>
      <c r="C383" s="28"/>
      <c r="D383" s="28"/>
      <c r="E383" s="28"/>
      <c r="F383" s="30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28"/>
      <c r="C384" s="28"/>
      <c r="D384" s="28"/>
      <c r="E384" s="28"/>
      <c r="F384" s="30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28"/>
      <c r="C385" s="28"/>
      <c r="D385" s="28"/>
      <c r="E385" s="28"/>
      <c r="F385" s="30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28"/>
      <c r="C386" s="28"/>
      <c r="D386" s="28"/>
      <c r="E386" s="28"/>
      <c r="F386" s="30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28"/>
      <c r="C387" s="28"/>
      <c r="D387" s="28"/>
      <c r="E387" s="28"/>
      <c r="F387" s="30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28"/>
      <c r="C388" s="28"/>
      <c r="D388" s="28"/>
      <c r="E388" s="28"/>
      <c r="F388" s="30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28"/>
      <c r="C389" s="28"/>
      <c r="D389" s="28"/>
      <c r="E389" s="28"/>
      <c r="F389" s="30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28"/>
      <c r="C390" s="28"/>
      <c r="D390" s="28"/>
      <c r="E390" s="28"/>
      <c r="F390" s="30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28"/>
      <c r="C391" s="28"/>
      <c r="D391" s="28"/>
      <c r="E391" s="28"/>
      <c r="F391" s="30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28"/>
      <c r="C392" s="28"/>
      <c r="D392" s="28"/>
      <c r="E392" s="28"/>
      <c r="F392" s="30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28"/>
      <c r="C393" s="28"/>
      <c r="D393" s="28"/>
      <c r="E393" s="28"/>
      <c r="F393" s="30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28"/>
      <c r="C394" s="28"/>
      <c r="D394" s="28"/>
      <c r="E394" s="28"/>
      <c r="F394" s="30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28"/>
      <c r="C395" s="28"/>
      <c r="D395" s="28"/>
      <c r="E395" s="28"/>
      <c r="F395" s="30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28"/>
      <c r="C396" s="28"/>
      <c r="D396" s="28"/>
      <c r="E396" s="28"/>
      <c r="F396" s="30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28"/>
      <c r="C397" s="28"/>
      <c r="D397" s="28"/>
      <c r="E397" s="28"/>
      <c r="F397" s="30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28"/>
      <c r="C398" s="28"/>
      <c r="D398" s="28"/>
      <c r="E398" s="28"/>
      <c r="F398" s="30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28"/>
      <c r="C399" s="28"/>
      <c r="D399" s="28"/>
      <c r="E399" s="28"/>
      <c r="F399" s="30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28"/>
      <c r="C400" s="28"/>
      <c r="D400" s="28"/>
      <c r="E400" s="28"/>
      <c r="F400" s="30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28"/>
      <c r="C401" s="28"/>
      <c r="D401" s="28"/>
      <c r="E401" s="28"/>
      <c r="F401" s="30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28"/>
      <c r="C402" s="28"/>
      <c r="D402" s="28"/>
      <c r="E402" s="28"/>
      <c r="F402" s="30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28"/>
      <c r="C403" s="28"/>
      <c r="D403" s="28"/>
      <c r="E403" s="28"/>
      <c r="F403" s="30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28"/>
      <c r="C404" s="28"/>
      <c r="D404" s="28"/>
      <c r="E404" s="28"/>
      <c r="F404" s="30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28"/>
      <c r="C405" s="28"/>
      <c r="D405" s="28"/>
      <c r="E405" s="28"/>
      <c r="F405" s="30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28"/>
      <c r="C406" s="28"/>
      <c r="D406" s="28"/>
      <c r="E406" s="28"/>
      <c r="F406" s="30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28"/>
      <c r="C407" s="28"/>
      <c r="D407" s="28"/>
      <c r="E407" s="28"/>
      <c r="F407" s="30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28"/>
      <c r="C408" s="28"/>
      <c r="D408" s="28"/>
      <c r="E408" s="28"/>
      <c r="F408" s="30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28"/>
      <c r="C409" s="28"/>
      <c r="D409" s="28"/>
      <c r="E409" s="28"/>
      <c r="F409" s="30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28"/>
      <c r="C410" s="28"/>
      <c r="D410" s="28"/>
      <c r="E410" s="28"/>
      <c r="F410" s="30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28"/>
      <c r="C411" s="28"/>
      <c r="D411" s="28"/>
      <c r="E411" s="28"/>
      <c r="F411" s="30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28"/>
      <c r="C412" s="28"/>
      <c r="D412" s="28"/>
      <c r="E412" s="28"/>
      <c r="F412" s="30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28"/>
      <c r="C413" s="28"/>
      <c r="D413" s="28"/>
      <c r="E413" s="28"/>
      <c r="F413" s="30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28"/>
      <c r="C414" s="28"/>
      <c r="D414" s="28"/>
      <c r="E414" s="28"/>
      <c r="F414" s="30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28"/>
      <c r="C415" s="28"/>
      <c r="D415" s="28"/>
      <c r="E415" s="28"/>
      <c r="F415" s="30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28"/>
      <c r="C416" s="28"/>
      <c r="D416" s="28"/>
      <c r="E416" s="28"/>
      <c r="F416" s="30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28"/>
      <c r="C417" s="28"/>
      <c r="D417" s="28"/>
      <c r="E417" s="28"/>
      <c r="F417" s="30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28"/>
      <c r="C418" s="28"/>
      <c r="D418" s="28"/>
      <c r="E418" s="28"/>
      <c r="F418" s="30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28"/>
      <c r="C419" s="28"/>
      <c r="D419" s="28"/>
      <c r="E419" s="28"/>
      <c r="F419" s="30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28"/>
      <c r="C420" s="28"/>
      <c r="D420" s="28"/>
      <c r="E420" s="28"/>
      <c r="F420" s="30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28"/>
      <c r="C421" s="28"/>
      <c r="D421" s="28"/>
      <c r="E421" s="28"/>
      <c r="F421" s="30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28"/>
      <c r="C422" s="28"/>
      <c r="D422" s="28"/>
      <c r="E422" s="28"/>
      <c r="F422" s="30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28"/>
      <c r="C423" s="28"/>
      <c r="D423" s="28"/>
      <c r="E423" s="28"/>
      <c r="F423" s="30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28"/>
      <c r="C424" s="28"/>
      <c r="D424" s="28"/>
      <c r="E424" s="28"/>
      <c r="F424" s="30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28"/>
      <c r="C425" s="28"/>
      <c r="D425" s="28"/>
      <c r="E425" s="28"/>
      <c r="F425" s="30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28"/>
      <c r="C426" s="28"/>
      <c r="D426" s="28"/>
      <c r="E426" s="28"/>
      <c r="F426" s="30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28"/>
      <c r="C427" s="28"/>
      <c r="D427" s="28"/>
      <c r="E427" s="28"/>
      <c r="F427" s="30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28"/>
      <c r="C428" s="28"/>
      <c r="D428" s="28"/>
      <c r="E428" s="28"/>
      <c r="F428" s="30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28"/>
      <c r="C429" s="28"/>
      <c r="D429" s="28"/>
      <c r="E429" s="28"/>
      <c r="F429" s="30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28"/>
      <c r="C430" s="28"/>
      <c r="D430" s="28"/>
      <c r="E430" s="28"/>
      <c r="F430" s="30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28"/>
      <c r="C431" s="28"/>
      <c r="D431" s="28"/>
      <c r="E431" s="28"/>
      <c r="F431" s="30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28"/>
      <c r="C432" s="28"/>
      <c r="D432" s="28"/>
      <c r="E432" s="28"/>
      <c r="F432" s="30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28"/>
      <c r="C433" s="28"/>
      <c r="D433" s="28"/>
      <c r="E433" s="28"/>
      <c r="F433" s="30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28"/>
      <c r="C434" s="28"/>
      <c r="D434" s="28"/>
      <c r="E434" s="28"/>
      <c r="F434" s="30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28"/>
      <c r="C435" s="28"/>
      <c r="D435" s="28"/>
      <c r="E435" s="28"/>
      <c r="F435" s="30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28"/>
      <c r="C436" s="28"/>
      <c r="D436" s="28"/>
      <c r="E436" s="28"/>
      <c r="F436" s="30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28"/>
      <c r="C437" s="28"/>
      <c r="D437" s="28"/>
      <c r="E437" s="28"/>
      <c r="F437" s="30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28"/>
      <c r="C438" s="28"/>
      <c r="D438" s="28"/>
      <c r="E438" s="28"/>
      <c r="F438" s="30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28"/>
      <c r="C439" s="28"/>
      <c r="D439" s="28"/>
      <c r="E439" s="28"/>
      <c r="F439" s="30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28"/>
      <c r="C440" s="28"/>
      <c r="D440" s="28"/>
      <c r="E440" s="28"/>
      <c r="F440" s="30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28"/>
      <c r="C441" s="28"/>
      <c r="D441" s="28"/>
      <c r="E441" s="28"/>
      <c r="F441" s="30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28"/>
      <c r="C442" s="28"/>
      <c r="D442" s="28"/>
      <c r="E442" s="28"/>
      <c r="F442" s="30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28"/>
      <c r="C443" s="28"/>
      <c r="D443" s="28"/>
      <c r="E443" s="28"/>
      <c r="F443" s="30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28"/>
      <c r="C444" s="28"/>
      <c r="D444" s="28"/>
      <c r="E444" s="28"/>
      <c r="F444" s="30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28"/>
      <c r="C445" s="28"/>
      <c r="D445" s="28"/>
      <c r="E445" s="28"/>
      <c r="F445" s="30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28"/>
      <c r="C446" s="28"/>
      <c r="D446" s="28"/>
      <c r="E446" s="28"/>
      <c r="F446" s="30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28"/>
      <c r="C447" s="28"/>
      <c r="D447" s="28"/>
      <c r="E447" s="28"/>
      <c r="F447" s="30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28"/>
      <c r="C448" s="28"/>
      <c r="D448" s="28"/>
      <c r="E448" s="28"/>
      <c r="F448" s="30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28"/>
      <c r="C449" s="28"/>
      <c r="D449" s="28"/>
      <c r="E449" s="28"/>
      <c r="F449" s="30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28"/>
      <c r="C450" s="28"/>
      <c r="D450" s="28"/>
      <c r="E450" s="28"/>
      <c r="F450" s="30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28"/>
      <c r="C451" s="28"/>
      <c r="D451" s="28"/>
      <c r="E451" s="28"/>
      <c r="F451" s="30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28"/>
      <c r="C452" s="28"/>
      <c r="D452" s="28"/>
      <c r="E452" s="28"/>
      <c r="F452" s="30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28"/>
      <c r="C453" s="28"/>
      <c r="D453" s="28"/>
      <c r="E453" s="28"/>
      <c r="F453" s="30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28"/>
      <c r="C454" s="28"/>
      <c r="D454" s="28"/>
      <c r="E454" s="28"/>
      <c r="F454" s="30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28"/>
      <c r="C455" s="28"/>
      <c r="D455" s="28"/>
      <c r="E455" s="28"/>
      <c r="F455" s="30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28"/>
      <c r="C456" s="28"/>
      <c r="D456" s="28"/>
      <c r="E456" s="28"/>
      <c r="F456" s="30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28"/>
      <c r="C457" s="28"/>
      <c r="D457" s="28"/>
      <c r="E457" s="28"/>
      <c r="F457" s="30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28"/>
      <c r="C458" s="28"/>
      <c r="D458" s="28"/>
      <c r="E458" s="28"/>
      <c r="F458" s="30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28"/>
      <c r="C459" s="28"/>
      <c r="D459" s="28"/>
      <c r="E459" s="28"/>
      <c r="F459" s="30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28"/>
      <c r="C460" s="28"/>
      <c r="D460" s="28"/>
      <c r="E460" s="28"/>
      <c r="F460" s="30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28"/>
      <c r="C461" s="28"/>
      <c r="D461" s="28"/>
      <c r="E461" s="28"/>
      <c r="F461" s="30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28"/>
      <c r="C462" s="28"/>
      <c r="D462" s="28"/>
      <c r="E462" s="28"/>
      <c r="F462" s="30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28"/>
      <c r="C463" s="28"/>
      <c r="D463" s="28"/>
      <c r="E463" s="28"/>
      <c r="F463" s="30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28"/>
      <c r="C464" s="28"/>
      <c r="D464" s="28"/>
      <c r="E464" s="28"/>
      <c r="F464" s="30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28"/>
      <c r="C465" s="28"/>
      <c r="D465" s="28"/>
      <c r="E465" s="28"/>
      <c r="F465" s="30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28"/>
      <c r="C466" s="28"/>
      <c r="D466" s="28"/>
      <c r="E466" s="28"/>
      <c r="F466" s="30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28"/>
      <c r="C467" s="28"/>
      <c r="D467" s="28"/>
      <c r="E467" s="28"/>
      <c r="F467" s="30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28"/>
      <c r="C468" s="28"/>
      <c r="D468" s="28"/>
      <c r="E468" s="28"/>
      <c r="F468" s="30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28"/>
      <c r="C469" s="28"/>
      <c r="D469" s="28"/>
      <c r="E469" s="28"/>
      <c r="F469" s="30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28"/>
      <c r="C470" s="28"/>
      <c r="D470" s="28"/>
      <c r="E470" s="28"/>
      <c r="F470" s="30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28"/>
      <c r="C471" s="28"/>
      <c r="D471" s="28"/>
      <c r="E471" s="28"/>
      <c r="F471" s="30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28"/>
      <c r="C472" s="28"/>
      <c r="D472" s="28"/>
      <c r="E472" s="28"/>
      <c r="F472" s="30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28"/>
      <c r="C473" s="28"/>
      <c r="D473" s="28"/>
      <c r="E473" s="28"/>
      <c r="F473" s="30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28"/>
      <c r="C474" s="28"/>
      <c r="D474" s="28"/>
      <c r="E474" s="28"/>
      <c r="F474" s="30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28"/>
      <c r="C475" s="28"/>
      <c r="D475" s="28"/>
      <c r="E475" s="28"/>
      <c r="F475" s="30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28"/>
      <c r="C476" s="28"/>
      <c r="D476" s="28"/>
      <c r="E476" s="28"/>
      <c r="F476" s="30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28"/>
      <c r="C477" s="28"/>
      <c r="D477" s="28"/>
      <c r="E477" s="28"/>
      <c r="F477" s="30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28"/>
      <c r="C478" s="28"/>
      <c r="D478" s="28"/>
      <c r="E478" s="28"/>
      <c r="F478" s="30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28"/>
      <c r="C479" s="28"/>
      <c r="D479" s="28"/>
      <c r="E479" s="28"/>
      <c r="F479" s="30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28"/>
      <c r="C480" s="28"/>
      <c r="D480" s="28"/>
      <c r="E480" s="28"/>
      <c r="F480" s="30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28"/>
      <c r="C481" s="28"/>
      <c r="D481" s="28"/>
      <c r="E481" s="28"/>
      <c r="F481" s="30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28"/>
      <c r="C482" s="28"/>
      <c r="D482" s="28"/>
      <c r="E482" s="28"/>
      <c r="F482" s="30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28"/>
      <c r="C483" s="28"/>
      <c r="D483" s="28"/>
      <c r="E483" s="28"/>
      <c r="F483" s="30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28"/>
      <c r="C484" s="28"/>
      <c r="D484" s="28"/>
      <c r="E484" s="28"/>
      <c r="F484" s="30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28"/>
      <c r="C485" s="28"/>
      <c r="D485" s="28"/>
      <c r="E485" s="28"/>
      <c r="F485" s="30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28"/>
      <c r="C486" s="28"/>
      <c r="D486" s="28"/>
      <c r="E486" s="28"/>
      <c r="F486" s="30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28"/>
      <c r="C487" s="28"/>
      <c r="D487" s="28"/>
      <c r="E487" s="28"/>
      <c r="F487" s="30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28"/>
      <c r="C488" s="28"/>
      <c r="D488" s="28"/>
      <c r="E488" s="28"/>
      <c r="F488" s="30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28"/>
      <c r="C489" s="28"/>
      <c r="D489" s="28"/>
      <c r="E489" s="28"/>
      <c r="F489" s="30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28"/>
      <c r="C490" s="28"/>
      <c r="D490" s="28"/>
      <c r="E490" s="28"/>
      <c r="F490" s="30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28"/>
      <c r="C491" s="28"/>
      <c r="D491" s="28"/>
      <c r="E491" s="28"/>
      <c r="F491" s="30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28"/>
      <c r="C492" s="28"/>
      <c r="D492" s="28"/>
      <c r="E492" s="28"/>
      <c r="F492" s="30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28"/>
      <c r="C493" s="28"/>
      <c r="D493" s="28"/>
      <c r="E493" s="28"/>
      <c r="F493" s="30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28"/>
      <c r="C494" s="28"/>
      <c r="D494" s="28"/>
      <c r="E494" s="28"/>
      <c r="F494" s="30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28"/>
      <c r="C495" s="28"/>
      <c r="D495" s="28"/>
      <c r="E495" s="28"/>
      <c r="F495" s="30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28"/>
      <c r="C496" s="28"/>
      <c r="D496" s="28"/>
      <c r="E496" s="28"/>
      <c r="F496" s="30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28"/>
      <c r="C497" s="28"/>
      <c r="D497" s="28"/>
      <c r="E497" s="28"/>
      <c r="F497" s="30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28"/>
      <c r="C498" s="28"/>
      <c r="D498" s="28"/>
      <c r="E498" s="28"/>
      <c r="F498" s="30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28"/>
      <c r="C499" s="28"/>
      <c r="D499" s="28"/>
      <c r="E499" s="28"/>
      <c r="F499" s="30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28"/>
      <c r="C500" s="28"/>
      <c r="D500" s="28"/>
      <c r="E500" s="28"/>
      <c r="F500" s="30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28"/>
      <c r="C501" s="28"/>
      <c r="D501" s="28"/>
      <c r="E501" s="28"/>
      <c r="F501" s="30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28"/>
      <c r="C502" s="28"/>
      <c r="D502" s="28"/>
      <c r="E502" s="28"/>
      <c r="F502" s="30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28"/>
      <c r="C503" s="28"/>
      <c r="D503" s="28"/>
      <c r="E503" s="28"/>
      <c r="F503" s="30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28"/>
      <c r="C504" s="28"/>
      <c r="D504" s="28"/>
      <c r="E504" s="28"/>
      <c r="F504" s="30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28"/>
      <c r="C505" s="28"/>
      <c r="D505" s="28"/>
      <c r="E505" s="28"/>
      <c r="F505" s="30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28"/>
      <c r="C506" s="28"/>
      <c r="D506" s="28"/>
      <c r="E506" s="28"/>
      <c r="F506" s="30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28"/>
      <c r="C507" s="28"/>
      <c r="D507" s="28"/>
      <c r="E507" s="28"/>
      <c r="F507" s="30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28"/>
      <c r="C508" s="28"/>
      <c r="D508" s="28"/>
      <c r="E508" s="28"/>
      <c r="F508" s="30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28"/>
      <c r="C509" s="28"/>
      <c r="D509" s="28"/>
      <c r="E509" s="28"/>
      <c r="F509" s="30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28"/>
      <c r="C510" s="28"/>
      <c r="D510" s="28"/>
      <c r="E510" s="28"/>
      <c r="F510" s="30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28"/>
      <c r="C511" s="28"/>
      <c r="D511" s="28"/>
      <c r="E511" s="28"/>
      <c r="F511" s="30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28"/>
      <c r="C512" s="28"/>
      <c r="D512" s="28"/>
      <c r="E512" s="28"/>
      <c r="F512" s="30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28"/>
      <c r="C513" s="28"/>
      <c r="D513" s="28"/>
      <c r="E513" s="28"/>
      <c r="F513" s="30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28"/>
      <c r="C514" s="28"/>
      <c r="D514" s="28"/>
      <c r="E514" s="28"/>
      <c r="F514" s="30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28"/>
      <c r="C515" s="28"/>
      <c r="D515" s="28"/>
      <c r="E515" s="28"/>
      <c r="F515" s="30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28"/>
      <c r="C516" s="28"/>
      <c r="D516" s="28"/>
      <c r="E516" s="28"/>
      <c r="F516" s="30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28"/>
      <c r="C517" s="28"/>
      <c r="D517" s="28"/>
      <c r="E517" s="28"/>
      <c r="F517" s="30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28"/>
      <c r="C518" s="28"/>
      <c r="D518" s="28"/>
      <c r="E518" s="28"/>
      <c r="F518" s="30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28"/>
      <c r="C519" s="28"/>
      <c r="D519" s="28"/>
      <c r="E519" s="28"/>
      <c r="F519" s="30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28"/>
      <c r="C520" s="28"/>
      <c r="D520" s="28"/>
      <c r="E520" s="28"/>
      <c r="F520" s="30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28"/>
      <c r="C521" s="28"/>
      <c r="D521" s="28"/>
      <c r="E521" s="28"/>
      <c r="F521" s="30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28"/>
      <c r="C522" s="28"/>
      <c r="D522" s="28"/>
      <c r="E522" s="28"/>
      <c r="F522" s="30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28"/>
      <c r="C523" s="28"/>
      <c r="D523" s="28"/>
      <c r="E523" s="28"/>
      <c r="F523" s="30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28"/>
      <c r="C524" s="28"/>
      <c r="D524" s="28"/>
      <c r="E524" s="28"/>
      <c r="F524" s="30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28"/>
      <c r="C525" s="28"/>
      <c r="D525" s="28"/>
      <c r="E525" s="28"/>
      <c r="F525" s="30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28"/>
      <c r="C526" s="28"/>
      <c r="D526" s="28"/>
      <c r="E526" s="28"/>
      <c r="F526" s="30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28"/>
      <c r="C527" s="28"/>
      <c r="D527" s="28"/>
      <c r="E527" s="28"/>
      <c r="F527" s="30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28"/>
      <c r="C528" s="28"/>
      <c r="D528" s="28"/>
      <c r="E528" s="28"/>
      <c r="F528" s="30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28"/>
      <c r="C529" s="28"/>
      <c r="D529" s="28"/>
      <c r="E529" s="28"/>
      <c r="F529" s="30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28"/>
      <c r="C530" s="28"/>
      <c r="D530" s="28"/>
      <c r="E530" s="28"/>
      <c r="F530" s="30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28"/>
      <c r="C531" s="28"/>
      <c r="D531" s="28"/>
      <c r="E531" s="28"/>
      <c r="F531" s="30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28"/>
      <c r="C532" s="28"/>
      <c r="D532" s="28"/>
      <c r="E532" s="28"/>
      <c r="F532" s="30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28"/>
      <c r="C533" s="28"/>
      <c r="D533" s="28"/>
      <c r="E533" s="28"/>
      <c r="F533" s="30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28"/>
      <c r="C534" s="28"/>
      <c r="D534" s="28"/>
      <c r="E534" s="28"/>
      <c r="F534" s="30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28"/>
      <c r="C535" s="28"/>
      <c r="D535" s="28"/>
      <c r="E535" s="28"/>
      <c r="F535" s="30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28"/>
      <c r="C536" s="28"/>
      <c r="D536" s="28"/>
      <c r="E536" s="28"/>
      <c r="F536" s="30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28"/>
      <c r="C537" s="28"/>
      <c r="D537" s="28"/>
      <c r="E537" s="28"/>
      <c r="F537" s="30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28"/>
      <c r="C538" s="28"/>
      <c r="D538" s="28"/>
      <c r="E538" s="28"/>
      <c r="F538" s="30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28"/>
      <c r="C539" s="28"/>
      <c r="D539" s="28"/>
      <c r="E539" s="28"/>
      <c r="F539" s="30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28"/>
      <c r="C540" s="28"/>
      <c r="D540" s="28"/>
      <c r="E540" s="28"/>
      <c r="F540" s="30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28"/>
      <c r="C541" s="28"/>
      <c r="D541" s="28"/>
      <c r="E541" s="28"/>
      <c r="F541" s="30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28"/>
      <c r="C542" s="28"/>
      <c r="D542" s="28"/>
      <c r="E542" s="28"/>
      <c r="F542" s="30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28"/>
      <c r="C543" s="28"/>
      <c r="D543" s="28"/>
      <c r="E543" s="28"/>
      <c r="F543" s="30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28"/>
      <c r="C544" s="28"/>
      <c r="D544" s="28"/>
      <c r="E544" s="28"/>
      <c r="F544" s="30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28"/>
      <c r="C545" s="28"/>
      <c r="D545" s="28"/>
      <c r="E545" s="28"/>
      <c r="F545" s="30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28"/>
      <c r="C546" s="28"/>
      <c r="D546" s="28"/>
      <c r="E546" s="28"/>
      <c r="F546" s="30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28"/>
      <c r="C547" s="28"/>
      <c r="D547" s="28"/>
      <c r="E547" s="28"/>
      <c r="F547" s="30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28"/>
      <c r="C548" s="28"/>
      <c r="D548" s="28"/>
      <c r="E548" s="28"/>
      <c r="F548" s="30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28"/>
      <c r="C549" s="28"/>
      <c r="D549" s="28"/>
      <c r="E549" s="28"/>
      <c r="F549" s="30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28"/>
      <c r="C550" s="28"/>
      <c r="D550" s="28"/>
      <c r="E550" s="28"/>
      <c r="F550" s="30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28"/>
      <c r="C551" s="28"/>
      <c r="D551" s="28"/>
      <c r="E551" s="28"/>
      <c r="F551" s="30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28"/>
      <c r="C552" s="28"/>
      <c r="D552" s="28"/>
      <c r="E552" s="28"/>
      <c r="F552" s="30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28"/>
      <c r="C553" s="28"/>
      <c r="D553" s="28"/>
      <c r="E553" s="28"/>
      <c r="F553" s="30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28"/>
      <c r="C554" s="28"/>
      <c r="D554" s="28"/>
      <c r="E554" s="28"/>
      <c r="F554" s="30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28"/>
      <c r="C555" s="28"/>
      <c r="D555" s="28"/>
      <c r="E555" s="28"/>
      <c r="F555" s="30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28"/>
      <c r="C556" s="28"/>
      <c r="D556" s="28"/>
      <c r="E556" s="28"/>
      <c r="F556" s="30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28"/>
      <c r="C557" s="28"/>
      <c r="D557" s="28"/>
      <c r="E557" s="28"/>
      <c r="F557" s="30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28"/>
      <c r="C558" s="28"/>
      <c r="D558" s="28"/>
      <c r="E558" s="28"/>
      <c r="F558" s="30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28"/>
      <c r="C559" s="28"/>
      <c r="D559" s="28"/>
      <c r="E559" s="28"/>
      <c r="F559" s="30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28"/>
      <c r="C560" s="28"/>
      <c r="D560" s="28"/>
      <c r="E560" s="28"/>
      <c r="F560" s="30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28"/>
      <c r="C561" s="28"/>
      <c r="D561" s="28"/>
      <c r="E561" s="28"/>
      <c r="F561" s="30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28"/>
      <c r="C562" s="28"/>
      <c r="D562" s="28"/>
      <c r="E562" s="28"/>
      <c r="F562" s="30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28"/>
      <c r="C563" s="28"/>
      <c r="D563" s="28"/>
      <c r="E563" s="28"/>
      <c r="F563" s="30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28"/>
      <c r="C564" s="28"/>
      <c r="D564" s="28"/>
      <c r="E564" s="28"/>
      <c r="F564" s="30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28"/>
      <c r="C565" s="28"/>
      <c r="D565" s="28"/>
      <c r="E565" s="28"/>
      <c r="F565" s="30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28"/>
      <c r="C566" s="28"/>
      <c r="D566" s="28"/>
      <c r="E566" s="28"/>
      <c r="F566" s="30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28"/>
      <c r="C567" s="28"/>
      <c r="D567" s="28"/>
      <c r="E567" s="28"/>
      <c r="F567" s="30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28"/>
      <c r="C568" s="28"/>
      <c r="D568" s="28"/>
      <c r="E568" s="28"/>
      <c r="F568" s="30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28"/>
      <c r="C569" s="28"/>
      <c r="D569" s="28"/>
      <c r="E569" s="28"/>
      <c r="F569" s="30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28"/>
      <c r="C570" s="28"/>
      <c r="D570" s="28"/>
      <c r="E570" s="28"/>
      <c r="F570" s="30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28"/>
      <c r="C571" s="28"/>
      <c r="D571" s="28"/>
      <c r="E571" s="28"/>
      <c r="F571" s="30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28"/>
      <c r="C572" s="28"/>
      <c r="D572" s="28"/>
      <c r="E572" s="28"/>
      <c r="F572" s="30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28"/>
      <c r="C573" s="28"/>
      <c r="D573" s="28"/>
      <c r="E573" s="28"/>
      <c r="F573" s="30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28"/>
      <c r="C574" s="28"/>
      <c r="D574" s="28"/>
      <c r="E574" s="28"/>
      <c r="F574" s="30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28"/>
      <c r="C575" s="28"/>
      <c r="D575" s="28"/>
      <c r="E575" s="28"/>
      <c r="F575" s="30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28"/>
      <c r="C576" s="28"/>
      <c r="D576" s="28"/>
      <c r="E576" s="28"/>
      <c r="F576" s="30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28"/>
      <c r="C577" s="28"/>
      <c r="D577" s="28"/>
      <c r="E577" s="28"/>
      <c r="F577" s="30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28"/>
      <c r="C578" s="28"/>
      <c r="D578" s="28"/>
      <c r="E578" s="28"/>
      <c r="F578" s="30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28"/>
      <c r="C579" s="28"/>
      <c r="D579" s="28"/>
      <c r="E579" s="28"/>
      <c r="F579" s="30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28"/>
      <c r="C580" s="28"/>
      <c r="D580" s="28"/>
      <c r="E580" s="28"/>
      <c r="F580" s="30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28"/>
      <c r="C581" s="28"/>
      <c r="D581" s="28"/>
      <c r="E581" s="28"/>
      <c r="F581" s="30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28"/>
      <c r="C582" s="28"/>
      <c r="D582" s="28"/>
      <c r="E582" s="28"/>
      <c r="F582" s="30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28"/>
      <c r="C583" s="28"/>
      <c r="D583" s="28"/>
      <c r="E583" s="28"/>
      <c r="F583" s="30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28"/>
      <c r="C584" s="28"/>
      <c r="D584" s="28"/>
      <c r="E584" s="28"/>
      <c r="F584" s="30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28"/>
      <c r="C585" s="28"/>
      <c r="D585" s="28"/>
      <c r="E585" s="28"/>
      <c r="F585" s="30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28"/>
      <c r="C586" s="28"/>
      <c r="D586" s="28"/>
      <c r="E586" s="28"/>
      <c r="F586" s="30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28"/>
      <c r="C587" s="28"/>
      <c r="D587" s="28"/>
      <c r="E587" s="28"/>
      <c r="F587" s="30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28"/>
      <c r="C588" s="28"/>
      <c r="D588" s="28"/>
      <c r="E588" s="28"/>
      <c r="F588" s="30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28"/>
      <c r="C589" s="28"/>
      <c r="D589" s="28"/>
      <c r="E589" s="28"/>
      <c r="F589" s="30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28"/>
      <c r="C590" s="28"/>
      <c r="D590" s="28"/>
      <c r="E590" s="28"/>
      <c r="F590" s="30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28"/>
      <c r="C591" s="28"/>
      <c r="D591" s="28"/>
      <c r="E591" s="28"/>
      <c r="F591" s="30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28"/>
      <c r="C592" s="28"/>
      <c r="D592" s="28"/>
      <c r="E592" s="28"/>
      <c r="F592" s="30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28"/>
      <c r="C593" s="28"/>
      <c r="D593" s="28"/>
      <c r="E593" s="28"/>
      <c r="F593" s="30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28"/>
      <c r="C594" s="28"/>
      <c r="D594" s="28"/>
      <c r="E594" s="28"/>
      <c r="F594" s="30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28"/>
      <c r="C595" s="28"/>
      <c r="D595" s="28"/>
      <c r="E595" s="28"/>
      <c r="F595" s="30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28"/>
      <c r="C596" s="28"/>
      <c r="D596" s="28"/>
      <c r="E596" s="28"/>
      <c r="F596" s="30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28"/>
      <c r="C597" s="28"/>
      <c r="D597" s="28"/>
      <c r="E597" s="28"/>
      <c r="F597" s="30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28"/>
      <c r="C598" s="28"/>
      <c r="D598" s="28"/>
      <c r="E598" s="28"/>
      <c r="F598" s="30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28"/>
      <c r="C599" s="28"/>
      <c r="D599" s="28"/>
      <c r="E599" s="28"/>
      <c r="F599" s="30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28"/>
      <c r="C600" s="28"/>
      <c r="D600" s="28"/>
      <c r="E600" s="28"/>
      <c r="F600" s="30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28"/>
      <c r="C601" s="28"/>
      <c r="D601" s="28"/>
      <c r="E601" s="28"/>
      <c r="F601" s="30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28"/>
      <c r="C602" s="28"/>
      <c r="D602" s="28"/>
      <c r="E602" s="28"/>
      <c r="F602" s="30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28"/>
      <c r="C603" s="28"/>
      <c r="D603" s="28"/>
      <c r="E603" s="28"/>
      <c r="F603" s="30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28"/>
      <c r="C604" s="28"/>
      <c r="D604" s="28"/>
      <c r="E604" s="28"/>
      <c r="F604" s="30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28"/>
      <c r="C605" s="28"/>
      <c r="D605" s="28"/>
      <c r="E605" s="28"/>
      <c r="F605" s="30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28"/>
      <c r="C606" s="28"/>
      <c r="D606" s="28"/>
      <c r="E606" s="28"/>
      <c r="F606" s="30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28"/>
      <c r="C607" s="28"/>
      <c r="D607" s="28"/>
      <c r="E607" s="28"/>
      <c r="F607" s="30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28"/>
      <c r="C608" s="28"/>
      <c r="D608" s="28"/>
      <c r="E608" s="28"/>
      <c r="F608" s="30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28"/>
      <c r="C609" s="28"/>
      <c r="D609" s="28"/>
      <c r="E609" s="28"/>
      <c r="F609" s="30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28"/>
      <c r="C610" s="28"/>
      <c r="D610" s="28"/>
      <c r="E610" s="28"/>
      <c r="F610" s="30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28"/>
      <c r="C611" s="28"/>
      <c r="D611" s="28"/>
      <c r="E611" s="28"/>
      <c r="F611" s="30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28"/>
      <c r="C612" s="28"/>
      <c r="D612" s="28"/>
      <c r="E612" s="28"/>
      <c r="F612" s="30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28"/>
      <c r="C613" s="28"/>
      <c r="D613" s="28"/>
      <c r="E613" s="28"/>
      <c r="F613" s="30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28"/>
      <c r="C614" s="28"/>
      <c r="D614" s="28"/>
      <c r="E614" s="28"/>
      <c r="F614" s="30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28"/>
      <c r="C615" s="28"/>
      <c r="D615" s="28"/>
      <c r="E615" s="28"/>
      <c r="F615" s="30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28"/>
      <c r="C616" s="28"/>
      <c r="D616" s="28"/>
      <c r="E616" s="28"/>
      <c r="F616" s="30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28"/>
      <c r="C617" s="28"/>
      <c r="D617" s="28"/>
      <c r="E617" s="28"/>
      <c r="F617" s="30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28"/>
      <c r="C618" s="28"/>
      <c r="D618" s="28"/>
      <c r="E618" s="28"/>
      <c r="F618" s="30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28"/>
      <c r="C619" s="28"/>
      <c r="D619" s="28"/>
      <c r="E619" s="28"/>
      <c r="F619" s="30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28"/>
      <c r="C620" s="28"/>
      <c r="D620" s="28"/>
      <c r="E620" s="28"/>
      <c r="F620" s="30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28"/>
      <c r="C621" s="28"/>
      <c r="D621" s="28"/>
      <c r="E621" s="28"/>
      <c r="F621" s="30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28"/>
      <c r="C622" s="28"/>
      <c r="D622" s="28"/>
      <c r="E622" s="28"/>
      <c r="F622" s="30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28"/>
      <c r="C623" s="28"/>
      <c r="D623" s="28"/>
      <c r="E623" s="28"/>
      <c r="F623" s="30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28"/>
      <c r="C624" s="28"/>
      <c r="D624" s="28"/>
      <c r="E624" s="28"/>
      <c r="F624" s="30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28"/>
      <c r="C625" s="28"/>
      <c r="D625" s="28"/>
      <c r="E625" s="28"/>
      <c r="F625" s="30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28"/>
      <c r="C626" s="28"/>
      <c r="D626" s="28"/>
      <c r="E626" s="28"/>
      <c r="F626" s="30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28"/>
      <c r="C627" s="28"/>
      <c r="D627" s="28"/>
      <c r="E627" s="28"/>
      <c r="F627" s="30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28"/>
      <c r="C628" s="28"/>
      <c r="D628" s="28"/>
      <c r="E628" s="28"/>
      <c r="F628" s="30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28"/>
      <c r="C629" s="28"/>
      <c r="D629" s="28"/>
      <c r="E629" s="28"/>
      <c r="F629" s="30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28"/>
      <c r="C630" s="28"/>
      <c r="D630" s="28"/>
      <c r="E630" s="28"/>
      <c r="F630" s="30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28"/>
      <c r="C631" s="28"/>
      <c r="D631" s="28"/>
      <c r="E631" s="28"/>
      <c r="F631" s="30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28"/>
      <c r="C632" s="28"/>
      <c r="D632" s="28"/>
      <c r="E632" s="28"/>
      <c r="F632" s="30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28"/>
      <c r="C633" s="28"/>
      <c r="D633" s="28"/>
      <c r="E633" s="28"/>
      <c r="F633" s="30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28"/>
      <c r="C634" s="28"/>
      <c r="D634" s="28"/>
      <c r="E634" s="28"/>
      <c r="F634" s="30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28"/>
      <c r="C635" s="28"/>
      <c r="D635" s="28"/>
      <c r="E635" s="28"/>
      <c r="F635" s="30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28"/>
      <c r="C636" s="28"/>
      <c r="D636" s="28"/>
      <c r="E636" s="28"/>
      <c r="F636" s="30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28"/>
      <c r="C637" s="28"/>
      <c r="D637" s="28"/>
      <c r="E637" s="28"/>
      <c r="F637" s="30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28"/>
      <c r="C638" s="28"/>
      <c r="D638" s="28"/>
      <c r="E638" s="28"/>
      <c r="F638" s="30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28"/>
      <c r="C639" s="28"/>
      <c r="D639" s="28"/>
      <c r="E639" s="28"/>
      <c r="F639" s="30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28"/>
      <c r="C640" s="28"/>
      <c r="D640" s="28"/>
      <c r="E640" s="28"/>
      <c r="F640" s="30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28"/>
      <c r="C641" s="28"/>
      <c r="D641" s="28"/>
      <c r="E641" s="28"/>
      <c r="F641" s="30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28"/>
      <c r="C642" s="28"/>
      <c r="D642" s="28"/>
      <c r="E642" s="28"/>
      <c r="F642" s="30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28"/>
      <c r="C643" s="28"/>
      <c r="D643" s="28"/>
      <c r="E643" s="28"/>
      <c r="F643" s="30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28"/>
      <c r="C644" s="28"/>
      <c r="D644" s="28"/>
      <c r="E644" s="28"/>
      <c r="F644" s="30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28"/>
      <c r="C645" s="28"/>
      <c r="D645" s="28"/>
      <c r="E645" s="28"/>
      <c r="F645" s="30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28"/>
      <c r="C646" s="28"/>
      <c r="D646" s="28"/>
      <c r="E646" s="28"/>
      <c r="F646" s="30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28"/>
      <c r="C647" s="28"/>
      <c r="D647" s="28"/>
      <c r="E647" s="28"/>
      <c r="F647" s="30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28"/>
      <c r="C648" s="28"/>
      <c r="D648" s="28"/>
      <c r="E648" s="28"/>
      <c r="F648" s="30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28"/>
      <c r="C649" s="28"/>
      <c r="D649" s="28"/>
      <c r="E649" s="28"/>
      <c r="F649" s="30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28"/>
      <c r="C650" s="28"/>
      <c r="D650" s="28"/>
      <c r="E650" s="28"/>
      <c r="F650" s="30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28"/>
      <c r="C651" s="28"/>
      <c r="D651" s="28"/>
      <c r="E651" s="28"/>
      <c r="F651" s="30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28"/>
      <c r="C652" s="28"/>
      <c r="D652" s="28"/>
      <c r="E652" s="28"/>
      <c r="F652" s="30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28"/>
      <c r="C653" s="28"/>
      <c r="D653" s="28"/>
      <c r="E653" s="28"/>
      <c r="F653" s="30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28"/>
      <c r="C654" s="28"/>
      <c r="D654" s="28"/>
      <c r="E654" s="28"/>
      <c r="F654" s="30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28"/>
      <c r="C655" s="28"/>
      <c r="D655" s="28"/>
      <c r="E655" s="28"/>
      <c r="F655" s="30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28"/>
      <c r="C656" s="28"/>
      <c r="D656" s="28"/>
      <c r="E656" s="28"/>
      <c r="F656" s="30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28"/>
      <c r="C657" s="28"/>
      <c r="D657" s="28"/>
      <c r="E657" s="28"/>
      <c r="F657" s="30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28"/>
      <c r="C658" s="28"/>
      <c r="D658" s="28"/>
      <c r="E658" s="28"/>
      <c r="F658" s="30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28"/>
      <c r="C659" s="28"/>
      <c r="D659" s="28"/>
      <c r="E659" s="28"/>
      <c r="F659" s="30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28"/>
      <c r="C660" s="28"/>
      <c r="D660" s="28"/>
      <c r="E660" s="28"/>
      <c r="F660" s="30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28"/>
      <c r="C661" s="28"/>
      <c r="D661" s="28"/>
      <c r="E661" s="28"/>
      <c r="F661" s="30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28"/>
      <c r="C662" s="28"/>
      <c r="D662" s="28"/>
      <c r="E662" s="28"/>
      <c r="F662" s="30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28"/>
      <c r="C663" s="28"/>
      <c r="D663" s="28"/>
      <c r="E663" s="28"/>
      <c r="F663" s="30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28"/>
      <c r="C664" s="28"/>
      <c r="D664" s="28"/>
      <c r="E664" s="28"/>
      <c r="F664" s="30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28"/>
      <c r="C665" s="28"/>
      <c r="D665" s="28"/>
      <c r="E665" s="28"/>
      <c r="F665" s="30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28"/>
      <c r="C666" s="28"/>
      <c r="D666" s="28"/>
      <c r="E666" s="28"/>
      <c r="F666" s="30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28"/>
      <c r="C667" s="28"/>
      <c r="D667" s="28"/>
      <c r="E667" s="28"/>
      <c r="F667" s="30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28"/>
      <c r="C668" s="28"/>
      <c r="D668" s="28"/>
      <c r="E668" s="28"/>
      <c r="F668" s="30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28"/>
      <c r="C669" s="28"/>
      <c r="D669" s="28"/>
      <c r="E669" s="28"/>
      <c r="F669" s="30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28"/>
      <c r="C670" s="28"/>
      <c r="D670" s="28"/>
      <c r="E670" s="28"/>
      <c r="F670" s="30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28"/>
      <c r="C671" s="28"/>
      <c r="D671" s="28"/>
      <c r="E671" s="28"/>
      <c r="F671" s="30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28"/>
      <c r="C672" s="28"/>
      <c r="D672" s="28"/>
      <c r="E672" s="28"/>
      <c r="F672" s="30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28"/>
      <c r="C673" s="28"/>
      <c r="D673" s="28"/>
      <c r="E673" s="28"/>
      <c r="F673" s="30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28"/>
      <c r="C674" s="28"/>
      <c r="D674" s="28"/>
      <c r="E674" s="28"/>
      <c r="F674" s="30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28"/>
      <c r="C675" s="28"/>
      <c r="D675" s="28"/>
      <c r="E675" s="28"/>
      <c r="F675" s="30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28"/>
      <c r="C676" s="28"/>
      <c r="D676" s="28"/>
      <c r="E676" s="28"/>
      <c r="F676" s="30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28"/>
      <c r="C677" s="28"/>
      <c r="D677" s="28"/>
      <c r="E677" s="28"/>
      <c r="F677" s="30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28"/>
      <c r="C678" s="28"/>
      <c r="D678" s="28"/>
      <c r="E678" s="28"/>
      <c r="F678" s="30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28"/>
      <c r="C679" s="28"/>
      <c r="D679" s="28"/>
      <c r="E679" s="28"/>
      <c r="F679" s="30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28"/>
      <c r="C680" s="28"/>
      <c r="D680" s="28"/>
      <c r="E680" s="28"/>
      <c r="F680" s="30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28"/>
      <c r="C681" s="28"/>
      <c r="D681" s="28"/>
      <c r="E681" s="28"/>
      <c r="F681" s="30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28"/>
      <c r="C682" s="28"/>
      <c r="D682" s="28"/>
      <c r="E682" s="28"/>
      <c r="F682" s="30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28"/>
      <c r="C683" s="28"/>
      <c r="D683" s="28"/>
      <c r="E683" s="28"/>
      <c r="F683" s="30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28"/>
      <c r="C684" s="28"/>
      <c r="D684" s="28"/>
      <c r="E684" s="28"/>
      <c r="F684" s="30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28"/>
      <c r="C685" s="28"/>
      <c r="D685" s="28"/>
      <c r="E685" s="28"/>
      <c r="F685" s="30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28"/>
      <c r="C686" s="28"/>
      <c r="D686" s="28"/>
      <c r="E686" s="28"/>
      <c r="F686" s="30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28"/>
      <c r="C687" s="28"/>
      <c r="D687" s="28"/>
      <c r="E687" s="28"/>
      <c r="F687" s="30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28"/>
      <c r="C688" s="28"/>
      <c r="D688" s="28"/>
      <c r="E688" s="28"/>
      <c r="F688" s="30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28"/>
      <c r="C689" s="28"/>
      <c r="D689" s="28"/>
      <c r="E689" s="28"/>
      <c r="F689" s="30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28"/>
      <c r="C690" s="28"/>
      <c r="D690" s="28"/>
      <c r="E690" s="28"/>
      <c r="F690" s="30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28"/>
      <c r="C691" s="28"/>
      <c r="D691" s="28"/>
      <c r="E691" s="28"/>
      <c r="F691" s="30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28"/>
      <c r="C692" s="28"/>
      <c r="D692" s="28"/>
      <c r="E692" s="28"/>
      <c r="F692" s="30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28"/>
      <c r="C693" s="28"/>
      <c r="D693" s="28"/>
      <c r="E693" s="28"/>
      <c r="F693" s="30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28"/>
      <c r="C694" s="28"/>
      <c r="D694" s="28"/>
      <c r="E694" s="28"/>
      <c r="F694" s="30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28"/>
      <c r="C695" s="28"/>
      <c r="D695" s="28"/>
      <c r="E695" s="28"/>
      <c r="F695" s="30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28"/>
      <c r="C696" s="28"/>
      <c r="D696" s="28"/>
      <c r="E696" s="28"/>
      <c r="F696" s="30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28"/>
      <c r="C697" s="28"/>
      <c r="D697" s="28"/>
      <c r="E697" s="28"/>
      <c r="F697" s="30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28"/>
      <c r="C698" s="28"/>
      <c r="D698" s="28"/>
      <c r="E698" s="28"/>
      <c r="F698" s="30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28"/>
      <c r="C699" s="28"/>
      <c r="D699" s="28"/>
      <c r="E699" s="28"/>
      <c r="F699" s="30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28"/>
      <c r="C700" s="28"/>
      <c r="D700" s="28"/>
      <c r="E700" s="28"/>
      <c r="F700" s="30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28"/>
      <c r="C701" s="28"/>
      <c r="D701" s="28"/>
      <c r="E701" s="28"/>
      <c r="F701" s="30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28"/>
      <c r="C702" s="28"/>
      <c r="D702" s="28"/>
      <c r="E702" s="28"/>
      <c r="F702" s="30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28"/>
      <c r="C703" s="28"/>
      <c r="D703" s="28"/>
      <c r="E703" s="28"/>
      <c r="F703" s="30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28"/>
      <c r="C704" s="28"/>
      <c r="D704" s="28"/>
      <c r="E704" s="28"/>
      <c r="F704" s="30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28"/>
      <c r="C705" s="28"/>
      <c r="D705" s="28"/>
      <c r="E705" s="28"/>
      <c r="F705" s="30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28"/>
      <c r="C706" s="28"/>
      <c r="D706" s="28"/>
      <c r="E706" s="28"/>
      <c r="F706" s="30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28"/>
      <c r="C707" s="28"/>
      <c r="D707" s="28"/>
      <c r="E707" s="28"/>
      <c r="F707" s="30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28"/>
      <c r="C708" s="28"/>
      <c r="D708" s="28"/>
      <c r="E708" s="28"/>
      <c r="F708" s="30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28"/>
      <c r="C709" s="28"/>
      <c r="D709" s="28"/>
      <c r="E709" s="28"/>
      <c r="F709" s="30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28"/>
      <c r="C710" s="28"/>
      <c r="D710" s="28"/>
      <c r="E710" s="28"/>
      <c r="F710" s="30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28"/>
      <c r="C711" s="28"/>
      <c r="D711" s="28"/>
      <c r="E711" s="28"/>
      <c r="F711" s="30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28"/>
      <c r="C712" s="28"/>
      <c r="D712" s="28"/>
      <c r="E712" s="28"/>
      <c r="F712" s="30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28"/>
      <c r="C713" s="28"/>
      <c r="D713" s="28"/>
      <c r="E713" s="28"/>
      <c r="F713" s="30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28"/>
      <c r="C714" s="28"/>
      <c r="D714" s="28"/>
      <c r="E714" s="28"/>
      <c r="F714" s="30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28"/>
      <c r="C715" s="28"/>
      <c r="D715" s="28"/>
      <c r="E715" s="28"/>
      <c r="F715" s="30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28"/>
      <c r="C716" s="28"/>
      <c r="D716" s="28"/>
      <c r="E716" s="28"/>
      <c r="F716" s="30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28"/>
      <c r="C717" s="28"/>
      <c r="D717" s="28"/>
      <c r="E717" s="28"/>
      <c r="F717" s="30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28"/>
      <c r="C718" s="28"/>
      <c r="D718" s="28"/>
      <c r="E718" s="28"/>
      <c r="F718" s="30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28"/>
      <c r="C719" s="28"/>
      <c r="D719" s="28"/>
      <c r="E719" s="28"/>
      <c r="F719" s="30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28"/>
      <c r="C720" s="28"/>
      <c r="D720" s="28"/>
      <c r="E720" s="28"/>
      <c r="F720" s="30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28"/>
      <c r="C721" s="28"/>
      <c r="D721" s="28"/>
      <c r="E721" s="28"/>
      <c r="F721" s="30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28"/>
      <c r="C722" s="28"/>
      <c r="D722" s="28"/>
      <c r="E722" s="28"/>
      <c r="F722" s="30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28"/>
      <c r="C723" s="28"/>
      <c r="D723" s="28"/>
      <c r="E723" s="28"/>
      <c r="F723" s="30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28"/>
      <c r="C724" s="28"/>
      <c r="D724" s="28"/>
      <c r="E724" s="28"/>
      <c r="F724" s="30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28"/>
      <c r="C725" s="28"/>
      <c r="D725" s="28"/>
      <c r="E725" s="28"/>
      <c r="F725" s="30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28"/>
      <c r="C726" s="28"/>
      <c r="D726" s="28"/>
      <c r="E726" s="28"/>
      <c r="F726" s="30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28"/>
      <c r="C727" s="28"/>
      <c r="D727" s="28"/>
      <c r="E727" s="28"/>
      <c r="F727" s="30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28"/>
      <c r="C728" s="28"/>
      <c r="D728" s="28"/>
      <c r="E728" s="28"/>
      <c r="F728" s="30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28"/>
      <c r="C729" s="28"/>
      <c r="D729" s="28"/>
      <c r="E729" s="28"/>
      <c r="F729" s="30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28"/>
      <c r="C730" s="28"/>
      <c r="D730" s="28"/>
      <c r="E730" s="28"/>
      <c r="F730" s="30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28"/>
      <c r="C731" s="28"/>
      <c r="D731" s="28"/>
      <c r="E731" s="28"/>
      <c r="F731" s="30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28"/>
      <c r="C732" s="28"/>
      <c r="D732" s="28"/>
      <c r="E732" s="28"/>
      <c r="F732" s="30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28"/>
      <c r="C733" s="28"/>
      <c r="D733" s="28"/>
      <c r="E733" s="28"/>
      <c r="F733" s="30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28"/>
      <c r="C734" s="28"/>
      <c r="D734" s="28"/>
      <c r="E734" s="28"/>
      <c r="F734" s="30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28"/>
      <c r="C735" s="28"/>
      <c r="D735" s="28"/>
      <c r="E735" s="28"/>
      <c r="F735" s="30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28"/>
      <c r="C736" s="28"/>
      <c r="D736" s="28"/>
      <c r="E736" s="28"/>
      <c r="F736" s="30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28"/>
      <c r="C737" s="28"/>
      <c r="D737" s="28"/>
      <c r="E737" s="28"/>
      <c r="F737" s="30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28"/>
      <c r="C738" s="28"/>
      <c r="D738" s="28"/>
      <c r="E738" s="28"/>
      <c r="F738" s="30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28"/>
      <c r="C739" s="28"/>
      <c r="D739" s="28"/>
      <c r="E739" s="28"/>
      <c r="F739" s="30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28"/>
      <c r="C740" s="28"/>
      <c r="D740" s="28"/>
      <c r="E740" s="28"/>
      <c r="F740" s="30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28"/>
      <c r="C741" s="28"/>
      <c r="D741" s="28"/>
      <c r="E741" s="28"/>
      <c r="F741" s="30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28"/>
      <c r="C742" s="28"/>
      <c r="D742" s="28"/>
      <c r="E742" s="28"/>
      <c r="F742" s="30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28"/>
      <c r="C743" s="28"/>
      <c r="D743" s="28"/>
      <c r="E743" s="28"/>
      <c r="F743" s="30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28"/>
      <c r="C744" s="28"/>
      <c r="D744" s="28"/>
      <c r="E744" s="28"/>
      <c r="F744" s="30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28"/>
      <c r="C745" s="28"/>
      <c r="D745" s="28"/>
      <c r="E745" s="28"/>
      <c r="F745" s="30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28"/>
      <c r="C746" s="28"/>
      <c r="D746" s="28"/>
      <c r="E746" s="28"/>
      <c r="F746" s="30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28"/>
      <c r="C747" s="28"/>
      <c r="D747" s="28"/>
      <c r="E747" s="28"/>
      <c r="F747" s="30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28"/>
      <c r="C748" s="28"/>
      <c r="D748" s="28"/>
      <c r="E748" s="28"/>
      <c r="F748" s="30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28"/>
      <c r="C749" s="28"/>
      <c r="D749" s="28"/>
      <c r="E749" s="28"/>
      <c r="F749" s="30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28"/>
      <c r="C750" s="28"/>
      <c r="D750" s="28"/>
      <c r="E750" s="28"/>
      <c r="F750" s="30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28"/>
      <c r="C751" s="28"/>
      <c r="D751" s="28"/>
      <c r="E751" s="28"/>
      <c r="F751" s="30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28"/>
      <c r="C752" s="28"/>
      <c r="D752" s="28"/>
      <c r="E752" s="28"/>
      <c r="F752" s="30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28"/>
      <c r="C753" s="28"/>
      <c r="D753" s="28"/>
      <c r="E753" s="28"/>
      <c r="F753" s="30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28"/>
      <c r="C754" s="28"/>
      <c r="D754" s="28"/>
      <c r="E754" s="28"/>
      <c r="F754" s="30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28"/>
      <c r="C755" s="28"/>
      <c r="D755" s="28"/>
      <c r="E755" s="28"/>
      <c r="F755" s="30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28"/>
      <c r="C756" s="28"/>
      <c r="D756" s="28"/>
      <c r="E756" s="28"/>
      <c r="F756" s="30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28"/>
      <c r="C757" s="28"/>
      <c r="D757" s="28"/>
      <c r="E757" s="28"/>
      <c r="F757" s="30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28"/>
      <c r="C758" s="28"/>
      <c r="D758" s="28"/>
      <c r="E758" s="28"/>
      <c r="F758" s="30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28"/>
      <c r="C759" s="28"/>
      <c r="D759" s="28"/>
      <c r="E759" s="28"/>
      <c r="F759" s="30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28"/>
      <c r="C760" s="28"/>
      <c r="D760" s="28"/>
      <c r="E760" s="28"/>
      <c r="F760" s="30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28"/>
      <c r="C761" s="28"/>
      <c r="D761" s="28"/>
      <c r="E761" s="28"/>
      <c r="F761" s="30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28"/>
      <c r="C762" s="28"/>
      <c r="D762" s="28"/>
      <c r="E762" s="28"/>
      <c r="F762" s="30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28"/>
      <c r="C763" s="28"/>
      <c r="D763" s="28"/>
      <c r="E763" s="28"/>
      <c r="F763" s="30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28"/>
      <c r="C764" s="28"/>
      <c r="D764" s="28"/>
      <c r="E764" s="28"/>
      <c r="F764" s="30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28"/>
      <c r="C765" s="28"/>
      <c r="D765" s="28"/>
      <c r="E765" s="28"/>
      <c r="F765" s="30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28"/>
      <c r="C766" s="28"/>
      <c r="D766" s="28"/>
      <c r="E766" s="28"/>
      <c r="F766" s="30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28"/>
      <c r="C767" s="28"/>
      <c r="D767" s="28"/>
      <c r="E767" s="28"/>
      <c r="F767" s="30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28"/>
      <c r="C768" s="28"/>
      <c r="D768" s="28"/>
      <c r="E768" s="28"/>
      <c r="F768" s="30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28"/>
      <c r="C769" s="28"/>
      <c r="D769" s="28"/>
      <c r="E769" s="28"/>
      <c r="F769" s="30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28"/>
      <c r="C770" s="28"/>
      <c r="D770" s="28"/>
      <c r="E770" s="28"/>
      <c r="F770" s="30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28"/>
      <c r="C771" s="28"/>
      <c r="D771" s="28"/>
      <c r="E771" s="28"/>
      <c r="F771" s="30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28"/>
      <c r="C772" s="28"/>
      <c r="D772" s="28"/>
      <c r="E772" s="28"/>
      <c r="F772" s="30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28"/>
      <c r="C773" s="28"/>
      <c r="D773" s="28"/>
      <c r="E773" s="28"/>
      <c r="F773" s="30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28"/>
      <c r="C774" s="28"/>
      <c r="D774" s="28"/>
      <c r="E774" s="28"/>
      <c r="F774" s="30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28"/>
      <c r="C775" s="28"/>
      <c r="D775" s="28"/>
      <c r="E775" s="28"/>
      <c r="F775" s="30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28"/>
      <c r="C776" s="28"/>
      <c r="D776" s="28"/>
      <c r="E776" s="28"/>
      <c r="F776" s="30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28"/>
      <c r="C777" s="28"/>
      <c r="D777" s="28"/>
      <c r="E777" s="28"/>
      <c r="F777" s="30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28"/>
      <c r="C778" s="28"/>
      <c r="D778" s="28"/>
      <c r="E778" s="28"/>
      <c r="F778" s="30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28"/>
      <c r="C779" s="28"/>
      <c r="D779" s="28"/>
      <c r="E779" s="28"/>
      <c r="F779" s="30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28"/>
      <c r="C780" s="28"/>
      <c r="D780" s="28"/>
      <c r="E780" s="28"/>
      <c r="F780" s="30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28"/>
      <c r="C781" s="28"/>
      <c r="D781" s="28"/>
      <c r="E781" s="28"/>
      <c r="F781" s="30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28"/>
      <c r="C782" s="28"/>
      <c r="D782" s="28"/>
      <c r="E782" s="28"/>
      <c r="F782" s="30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28"/>
      <c r="C783" s="28"/>
      <c r="D783" s="28"/>
      <c r="E783" s="28"/>
      <c r="F783" s="30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28"/>
      <c r="C784" s="28"/>
      <c r="D784" s="28"/>
      <c r="E784" s="28"/>
      <c r="F784" s="30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28"/>
      <c r="C785" s="28"/>
      <c r="D785" s="28"/>
      <c r="E785" s="28"/>
      <c r="F785" s="30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28"/>
      <c r="C786" s="28"/>
      <c r="D786" s="28"/>
      <c r="E786" s="28"/>
      <c r="F786" s="30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28"/>
      <c r="C787" s="28"/>
      <c r="D787" s="28"/>
      <c r="E787" s="28"/>
      <c r="F787" s="30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28"/>
      <c r="C788" s="28"/>
      <c r="D788" s="28"/>
      <c r="E788" s="28"/>
      <c r="F788" s="30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28"/>
      <c r="C789" s="28"/>
      <c r="D789" s="28"/>
      <c r="E789" s="28"/>
      <c r="F789" s="30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28"/>
      <c r="C790" s="28"/>
      <c r="D790" s="28"/>
      <c r="E790" s="28"/>
      <c r="F790" s="30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28"/>
      <c r="C791" s="28"/>
      <c r="D791" s="28"/>
      <c r="E791" s="28"/>
      <c r="F791" s="30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28"/>
      <c r="C792" s="28"/>
      <c r="D792" s="28"/>
      <c r="E792" s="28"/>
      <c r="F792" s="30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28"/>
      <c r="C793" s="28"/>
      <c r="D793" s="28"/>
      <c r="E793" s="28"/>
      <c r="F793" s="30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28"/>
      <c r="C794" s="28"/>
      <c r="D794" s="28"/>
      <c r="E794" s="28"/>
      <c r="F794" s="30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28"/>
      <c r="C795" s="28"/>
      <c r="D795" s="28"/>
      <c r="E795" s="28"/>
      <c r="F795" s="30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28"/>
      <c r="C796" s="28"/>
      <c r="D796" s="28"/>
      <c r="E796" s="28"/>
      <c r="F796" s="30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28"/>
      <c r="C797" s="28"/>
      <c r="D797" s="28"/>
      <c r="E797" s="28"/>
      <c r="F797" s="30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28"/>
      <c r="C798" s="28"/>
      <c r="D798" s="28"/>
      <c r="E798" s="28"/>
      <c r="F798" s="30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28"/>
      <c r="C799" s="28"/>
      <c r="D799" s="28"/>
      <c r="E799" s="28"/>
      <c r="F799" s="30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28"/>
      <c r="C800" s="28"/>
      <c r="D800" s="28"/>
      <c r="E800" s="28"/>
      <c r="F800" s="30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28"/>
      <c r="C801" s="28"/>
      <c r="D801" s="28"/>
      <c r="E801" s="28"/>
      <c r="F801" s="30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28"/>
      <c r="C802" s="28"/>
      <c r="D802" s="28"/>
      <c r="E802" s="28"/>
      <c r="F802" s="30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28"/>
      <c r="C803" s="28"/>
      <c r="D803" s="28"/>
      <c r="E803" s="28"/>
      <c r="F803" s="30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28"/>
      <c r="C804" s="28"/>
      <c r="D804" s="28"/>
      <c r="E804" s="28"/>
      <c r="F804" s="30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28"/>
      <c r="C805" s="28"/>
      <c r="D805" s="28"/>
      <c r="E805" s="28"/>
      <c r="F805" s="30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28"/>
      <c r="C806" s="28"/>
      <c r="D806" s="28"/>
      <c r="E806" s="28"/>
      <c r="F806" s="30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28"/>
      <c r="C807" s="28"/>
      <c r="D807" s="28"/>
      <c r="E807" s="28"/>
      <c r="F807" s="30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28"/>
      <c r="C808" s="28"/>
      <c r="D808" s="28"/>
      <c r="E808" s="28"/>
      <c r="F808" s="30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28"/>
      <c r="C809" s="28"/>
      <c r="D809" s="28"/>
      <c r="E809" s="28"/>
      <c r="F809" s="30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28"/>
      <c r="C810" s="28"/>
      <c r="D810" s="28"/>
      <c r="E810" s="28"/>
      <c r="F810" s="30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28"/>
      <c r="C811" s="28"/>
      <c r="D811" s="28"/>
      <c r="E811" s="28"/>
      <c r="F811" s="30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28"/>
      <c r="C812" s="28"/>
      <c r="D812" s="28"/>
      <c r="E812" s="28"/>
      <c r="F812" s="30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28"/>
      <c r="C813" s="28"/>
      <c r="D813" s="28"/>
      <c r="E813" s="28"/>
      <c r="F813" s="30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28"/>
      <c r="C814" s="28"/>
      <c r="D814" s="28"/>
      <c r="E814" s="28"/>
      <c r="F814" s="30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28"/>
      <c r="C815" s="28"/>
      <c r="D815" s="28"/>
      <c r="E815" s="28"/>
      <c r="F815" s="30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28"/>
      <c r="C816" s="28"/>
      <c r="D816" s="28"/>
      <c r="E816" s="28"/>
      <c r="F816" s="30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28"/>
      <c r="C817" s="28"/>
      <c r="D817" s="28"/>
      <c r="E817" s="28"/>
      <c r="F817" s="30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28"/>
      <c r="C818" s="28"/>
      <c r="D818" s="28"/>
      <c r="E818" s="28"/>
      <c r="F818" s="30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28"/>
      <c r="C819" s="28"/>
      <c r="D819" s="28"/>
      <c r="E819" s="28"/>
      <c r="F819" s="30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28"/>
      <c r="C820" s="28"/>
      <c r="D820" s="28"/>
      <c r="E820" s="28"/>
      <c r="F820" s="30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28"/>
      <c r="C821" s="28"/>
      <c r="D821" s="28"/>
      <c r="E821" s="28"/>
      <c r="F821" s="30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28"/>
      <c r="C822" s="28"/>
      <c r="D822" s="28"/>
      <c r="E822" s="28"/>
      <c r="F822" s="30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28"/>
      <c r="C823" s="28"/>
      <c r="D823" s="28"/>
      <c r="E823" s="28"/>
      <c r="F823" s="30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28"/>
      <c r="C824" s="28"/>
      <c r="D824" s="28"/>
      <c r="E824" s="28"/>
      <c r="F824" s="30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28"/>
      <c r="C825" s="28"/>
      <c r="D825" s="28"/>
      <c r="E825" s="28"/>
      <c r="F825" s="30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28"/>
      <c r="C826" s="28"/>
      <c r="D826" s="28"/>
      <c r="E826" s="28"/>
      <c r="F826" s="30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28"/>
      <c r="C827" s="28"/>
      <c r="D827" s="28"/>
      <c r="E827" s="28"/>
      <c r="F827" s="30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28"/>
      <c r="C828" s="28"/>
      <c r="D828" s="28"/>
      <c r="E828" s="28"/>
      <c r="F828" s="30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28"/>
      <c r="C829" s="28"/>
      <c r="D829" s="28"/>
      <c r="E829" s="28"/>
      <c r="F829" s="30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28"/>
      <c r="C830" s="28"/>
      <c r="D830" s="28"/>
      <c r="E830" s="28"/>
      <c r="F830" s="30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28"/>
      <c r="C831" s="28"/>
      <c r="D831" s="28"/>
      <c r="E831" s="28"/>
      <c r="F831" s="30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28"/>
      <c r="C832" s="28"/>
      <c r="D832" s="28"/>
      <c r="E832" s="28"/>
      <c r="F832" s="30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28"/>
      <c r="C833" s="28"/>
      <c r="D833" s="28"/>
      <c r="E833" s="28"/>
      <c r="F833" s="30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28"/>
      <c r="C834" s="28"/>
      <c r="D834" s="28"/>
      <c r="E834" s="28"/>
      <c r="F834" s="30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28"/>
      <c r="C835" s="28"/>
      <c r="D835" s="28"/>
      <c r="E835" s="28"/>
      <c r="F835" s="30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28"/>
      <c r="C836" s="28"/>
      <c r="D836" s="28"/>
      <c r="E836" s="28"/>
      <c r="F836" s="30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28"/>
      <c r="C837" s="28"/>
      <c r="D837" s="28"/>
      <c r="E837" s="28"/>
      <c r="F837" s="30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28"/>
      <c r="C838" s="28"/>
      <c r="D838" s="28"/>
      <c r="E838" s="28"/>
      <c r="F838" s="30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28"/>
      <c r="C839" s="28"/>
      <c r="D839" s="28"/>
      <c r="E839" s="28"/>
      <c r="F839" s="30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28"/>
      <c r="C840" s="28"/>
      <c r="D840" s="28"/>
      <c r="E840" s="28"/>
      <c r="F840" s="30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28"/>
      <c r="C841" s="28"/>
      <c r="D841" s="28"/>
      <c r="E841" s="28"/>
      <c r="F841" s="30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28"/>
      <c r="C842" s="28"/>
      <c r="D842" s="28"/>
      <c r="E842" s="28"/>
      <c r="F842" s="30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28"/>
      <c r="C843" s="28"/>
      <c r="D843" s="28"/>
      <c r="E843" s="28"/>
      <c r="F843" s="30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28"/>
      <c r="C844" s="28"/>
      <c r="D844" s="28"/>
      <c r="E844" s="28"/>
      <c r="F844" s="30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28"/>
      <c r="C845" s="28"/>
      <c r="D845" s="28"/>
      <c r="E845" s="28"/>
      <c r="F845" s="30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28"/>
      <c r="C846" s="28"/>
      <c r="D846" s="28"/>
      <c r="E846" s="28"/>
      <c r="F846" s="30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28"/>
      <c r="C847" s="28"/>
      <c r="D847" s="28"/>
      <c r="E847" s="28"/>
      <c r="F847" s="30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28"/>
      <c r="C848" s="28"/>
      <c r="D848" s="28"/>
      <c r="E848" s="28"/>
      <c r="F848" s="30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28"/>
      <c r="C849" s="28"/>
      <c r="D849" s="28"/>
      <c r="E849" s="28"/>
      <c r="F849" s="30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28"/>
      <c r="C850" s="28"/>
      <c r="D850" s="28"/>
      <c r="E850" s="28"/>
      <c r="F850" s="30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28"/>
      <c r="C851" s="28"/>
      <c r="D851" s="28"/>
      <c r="E851" s="28"/>
      <c r="F851" s="30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28"/>
      <c r="C852" s="28"/>
      <c r="D852" s="28"/>
      <c r="E852" s="28"/>
      <c r="F852" s="30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28"/>
      <c r="C853" s="28"/>
      <c r="D853" s="28"/>
      <c r="E853" s="28"/>
      <c r="F853" s="30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28"/>
      <c r="C854" s="28"/>
      <c r="D854" s="28"/>
      <c r="E854" s="28"/>
      <c r="F854" s="30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28"/>
      <c r="C855" s="28"/>
      <c r="D855" s="28"/>
      <c r="E855" s="28"/>
      <c r="F855" s="30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28"/>
      <c r="C856" s="28"/>
      <c r="D856" s="28"/>
      <c r="E856" s="28"/>
      <c r="F856" s="30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28"/>
      <c r="C857" s="28"/>
      <c r="D857" s="28"/>
      <c r="E857" s="28"/>
      <c r="F857" s="30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28"/>
      <c r="C858" s="28"/>
      <c r="D858" s="28"/>
      <c r="E858" s="28"/>
      <c r="F858" s="30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28"/>
      <c r="C859" s="28"/>
      <c r="D859" s="28"/>
      <c r="E859" s="28"/>
      <c r="F859" s="30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28"/>
      <c r="C860" s="28"/>
      <c r="D860" s="28"/>
      <c r="E860" s="28"/>
      <c r="F860" s="30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28"/>
      <c r="C861" s="28"/>
      <c r="D861" s="28"/>
      <c r="E861" s="28"/>
      <c r="F861" s="30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28"/>
      <c r="C862" s="28"/>
      <c r="D862" s="28"/>
      <c r="E862" s="28"/>
      <c r="F862" s="30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28"/>
      <c r="C863" s="28"/>
      <c r="D863" s="28"/>
      <c r="E863" s="28"/>
      <c r="F863" s="30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28"/>
      <c r="C864" s="28"/>
      <c r="D864" s="28"/>
      <c r="E864" s="28"/>
      <c r="F864" s="30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28"/>
      <c r="C865" s="28"/>
      <c r="D865" s="28"/>
      <c r="E865" s="28"/>
      <c r="F865" s="30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28"/>
      <c r="C866" s="28"/>
      <c r="D866" s="28"/>
      <c r="E866" s="28"/>
      <c r="F866" s="30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28"/>
      <c r="C867" s="28"/>
      <c r="D867" s="28"/>
      <c r="E867" s="28"/>
      <c r="F867" s="30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28"/>
      <c r="C868" s="28"/>
      <c r="D868" s="28"/>
      <c r="E868" s="28"/>
      <c r="F868" s="30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28"/>
      <c r="C869" s="28"/>
      <c r="D869" s="28"/>
      <c r="E869" s="28"/>
      <c r="F869" s="30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28"/>
      <c r="C870" s="28"/>
      <c r="D870" s="28"/>
      <c r="E870" s="28"/>
      <c r="F870" s="30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28"/>
      <c r="C871" s="28"/>
      <c r="D871" s="28"/>
      <c r="E871" s="28"/>
      <c r="F871" s="30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28"/>
      <c r="C872" s="28"/>
      <c r="D872" s="28"/>
      <c r="E872" s="28"/>
      <c r="F872" s="30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28"/>
      <c r="C873" s="28"/>
      <c r="D873" s="28"/>
      <c r="E873" s="28"/>
      <c r="F873" s="30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28"/>
      <c r="C874" s="28"/>
      <c r="D874" s="28"/>
      <c r="E874" s="28"/>
      <c r="F874" s="30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28"/>
      <c r="C875" s="28"/>
      <c r="D875" s="28"/>
      <c r="E875" s="28"/>
      <c r="F875" s="30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28"/>
      <c r="C876" s="28"/>
      <c r="D876" s="28"/>
      <c r="E876" s="28"/>
      <c r="F876" s="30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28"/>
      <c r="C877" s="28"/>
      <c r="D877" s="28"/>
      <c r="E877" s="28"/>
      <c r="F877" s="30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28"/>
      <c r="C878" s="28"/>
      <c r="D878" s="28"/>
      <c r="E878" s="28"/>
      <c r="F878" s="30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28"/>
      <c r="C879" s="28"/>
      <c r="D879" s="28"/>
      <c r="E879" s="28"/>
      <c r="F879" s="30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28"/>
      <c r="C880" s="28"/>
      <c r="D880" s="28"/>
      <c r="E880" s="28"/>
      <c r="F880" s="30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28"/>
      <c r="C881" s="28"/>
      <c r="D881" s="28"/>
      <c r="E881" s="28"/>
      <c r="F881" s="30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28"/>
      <c r="C882" s="28"/>
      <c r="D882" s="28"/>
      <c r="E882" s="28"/>
      <c r="F882" s="30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28"/>
      <c r="C883" s="28"/>
      <c r="D883" s="28"/>
      <c r="E883" s="28"/>
      <c r="F883" s="30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28"/>
      <c r="C884" s="28"/>
      <c r="D884" s="28"/>
      <c r="E884" s="28"/>
      <c r="F884" s="30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28"/>
      <c r="C885" s="28"/>
      <c r="D885" s="28"/>
      <c r="E885" s="28"/>
      <c r="F885" s="30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28"/>
      <c r="C886" s="28"/>
      <c r="D886" s="28"/>
      <c r="E886" s="28"/>
      <c r="F886" s="30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28"/>
      <c r="C887" s="28"/>
      <c r="D887" s="28"/>
      <c r="E887" s="28"/>
      <c r="F887" s="30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28"/>
      <c r="C888" s="28"/>
      <c r="D888" s="28"/>
      <c r="E888" s="28"/>
      <c r="F888" s="30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28"/>
      <c r="C889" s="28"/>
      <c r="D889" s="28"/>
      <c r="E889" s="28"/>
      <c r="F889" s="30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28"/>
      <c r="C890" s="28"/>
      <c r="D890" s="28"/>
      <c r="E890" s="28"/>
      <c r="F890" s="30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28"/>
      <c r="C891" s="28"/>
      <c r="D891" s="28"/>
      <c r="E891" s="28"/>
      <c r="F891" s="30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28"/>
      <c r="C892" s="28"/>
      <c r="D892" s="28"/>
      <c r="E892" s="28"/>
      <c r="F892" s="30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28"/>
      <c r="C893" s="28"/>
      <c r="D893" s="28"/>
      <c r="E893" s="28"/>
      <c r="F893" s="30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28"/>
      <c r="C894" s="28"/>
      <c r="D894" s="28"/>
      <c r="E894" s="28"/>
      <c r="F894" s="30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28"/>
      <c r="C895" s="28"/>
      <c r="D895" s="28"/>
      <c r="E895" s="28"/>
      <c r="F895" s="30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28"/>
      <c r="C896" s="28"/>
      <c r="D896" s="28"/>
      <c r="E896" s="28"/>
      <c r="F896" s="30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28"/>
      <c r="C897" s="28"/>
      <c r="D897" s="28"/>
      <c r="E897" s="28"/>
      <c r="F897" s="30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28"/>
      <c r="C898" s="28"/>
      <c r="D898" s="28"/>
      <c r="E898" s="28"/>
      <c r="F898" s="30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28"/>
      <c r="C899" s="28"/>
      <c r="D899" s="28"/>
      <c r="E899" s="28"/>
      <c r="F899" s="30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28"/>
      <c r="C900" s="28"/>
      <c r="D900" s="28"/>
      <c r="E900" s="28"/>
      <c r="F900" s="30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28"/>
      <c r="C901" s="28"/>
      <c r="D901" s="28"/>
      <c r="E901" s="28"/>
      <c r="F901" s="30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28"/>
      <c r="C902" s="28"/>
      <c r="D902" s="28"/>
      <c r="E902" s="28"/>
      <c r="F902" s="30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28"/>
      <c r="C903" s="28"/>
      <c r="D903" s="28"/>
      <c r="E903" s="28"/>
      <c r="F903" s="30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28"/>
      <c r="C904" s="28"/>
      <c r="D904" s="28"/>
      <c r="E904" s="28"/>
      <c r="F904" s="30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28"/>
      <c r="C905" s="28"/>
      <c r="D905" s="28"/>
      <c r="E905" s="28"/>
      <c r="F905" s="30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28"/>
      <c r="C906" s="28"/>
      <c r="D906" s="28"/>
      <c r="E906" s="28"/>
      <c r="F906" s="30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28"/>
      <c r="C907" s="28"/>
      <c r="D907" s="28"/>
      <c r="E907" s="28"/>
      <c r="F907" s="30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28"/>
      <c r="C908" s="28"/>
      <c r="D908" s="28"/>
      <c r="E908" s="28"/>
      <c r="F908" s="30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28"/>
      <c r="C909" s="28"/>
      <c r="D909" s="28"/>
      <c r="E909" s="28"/>
      <c r="F909" s="30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28"/>
      <c r="C910" s="28"/>
      <c r="D910" s="28"/>
      <c r="E910" s="28"/>
      <c r="F910" s="30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28"/>
      <c r="C911" s="28"/>
      <c r="D911" s="28"/>
      <c r="E911" s="28"/>
      <c r="F911" s="30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28"/>
      <c r="C912" s="28"/>
      <c r="D912" s="28"/>
      <c r="E912" s="28"/>
      <c r="F912" s="30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28"/>
      <c r="C913" s="28"/>
      <c r="D913" s="28"/>
      <c r="E913" s="28"/>
      <c r="F913" s="30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28"/>
      <c r="C914" s="28"/>
      <c r="D914" s="28"/>
      <c r="E914" s="28"/>
      <c r="F914" s="30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28"/>
      <c r="C915" s="28"/>
      <c r="D915" s="28"/>
      <c r="E915" s="28"/>
      <c r="F915" s="30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28"/>
      <c r="C916" s="28"/>
      <c r="D916" s="28"/>
      <c r="E916" s="28"/>
      <c r="F916" s="30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28"/>
      <c r="C917" s="28"/>
      <c r="D917" s="28"/>
      <c r="E917" s="28"/>
      <c r="F917" s="30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28"/>
      <c r="C918" s="28"/>
      <c r="D918" s="28"/>
      <c r="E918" s="28"/>
      <c r="F918" s="30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28"/>
      <c r="C919" s="28"/>
      <c r="D919" s="28"/>
      <c r="E919" s="28"/>
      <c r="F919" s="30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28"/>
      <c r="C920" s="28"/>
      <c r="D920" s="28"/>
      <c r="E920" s="28"/>
      <c r="F920" s="30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28"/>
      <c r="C921" s="28"/>
      <c r="D921" s="28"/>
      <c r="E921" s="28"/>
      <c r="F921" s="30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28"/>
      <c r="C922" s="28"/>
      <c r="D922" s="28"/>
      <c r="E922" s="28"/>
      <c r="F922" s="30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28"/>
      <c r="C923" s="28"/>
      <c r="D923" s="28"/>
      <c r="E923" s="28"/>
      <c r="F923" s="30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28"/>
      <c r="C924" s="28"/>
      <c r="D924" s="28"/>
      <c r="E924" s="28"/>
      <c r="F924" s="30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28"/>
      <c r="C925" s="28"/>
      <c r="D925" s="28"/>
      <c r="E925" s="28"/>
      <c r="F925" s="30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28"/>
      <c r="C926" s="28"/>
      <c r="D926" s="28"/>
      <c r="E926" s="28"/>
      <c r="F926" s="30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28"/>
      <c r="C927" s="28"/>
      <c r="D927" s="28"/>
      <c r="E927" s="28"/>
      <c r="F927" s="30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28"/>
      <c r="C928" s="28"/>
      <c r="D928" s="28"/>
      <c r="E928" s="28"/>
      <c r="F928" s="30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28"/>
      <c r="C929" s="28"/>
      <c r="D929" s="28"/>
      <c r="E929" s="28"/>
      <c r="F929" s="30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28"/>
      <c r="C930" s="28"/>
      <c r="D930" s="28"/>
      <c r="E930" s="28"/>
      <c r="F930" s="30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28"/>
      <c r="C931" s="28"/>
      <c r="D931" s="28"/>
      <c r="E931" s="28"/>
      <c r="F931" s="30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28"/>
      <c r="C932" s="28"/>
      <c r="D932" s="28"/>
      <c r="E932" s="28"/>
      <c r="F932" s="30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28"/>
      <c r="C933" s="28"/>
      <c r="D933" s="28"/>
      <c r="E933" s="28"/>
      <c r="F933" s="30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28"/>
      <c r="C934" s="28"/>
      <c r="D934" s="28"/>
      <c r="E934" s="28"/>
      <c r="F934" s="30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28"/>
      <c r="C935" s="28"/>
      <c r="D935" s="28"/>
      <c r="E935" s="28"/>
      <c r="F935" s="30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28"/>
      <c r="C936" s="28"/>
      <c r="D936" s="28"/>
      <c r="E936" s="28"/>
      <c r="F936" s="30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28"/>
      <c r="C937" s="28"/>
      <c r="D937" s="28"/>
      <c r="E937" s="28"/>
      <c r="F937" s="30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28"/>
      <c r="C938" s="28"/>
      <c r="D938" s="28"/>
      <c r="E938" s="28"/>
      <c r="F938" s="30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28"/>
      <c r="C939" s="28"/>
      <c r="D939" s="28"/>
      <c r="E939" s="28"/>
      <c r="F939" s="30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28"/>
      <c r="C940" s="28"/>
      <c r="D940" s="28"/>
      <c r="E940" s="28"/>
      <c r="F940" s="30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28"/>
      <c r="C941" s="28"/>
      <c r="D941" s="28"/>
      <c r="E941" s="28"/>
      <c r="F941" s="30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28"/>
      <c r="C942" s="28"/>
      <c r="D942" s="28"/>
      <c r="E942" s="28"/>
      <c r="F942" s="30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28"/>
      <c r="C943" s="28"/>
      <c r="D943" s="28"/>
      <c r="E943" s="28"/>
      <c r="F943" s="30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28"/>
      <c r="C944" s="28"/>
      <c r="D944" s="28"/>
      <c r="E944" s="28"/>
      <c r="F944" s="30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28"/>
      <c r="C945" s="28"/>
      <c r="D945" s="28"/>
      <c r="E945" s="28"/>
      <c r="F945" s="30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28"/>
      <c r="C946" s="28"/>
      <c r="D946" s="28"/>
      <c r="E946" s="28"/>
      <c r="F946" s="30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28"/>
      <c r="C947" s="28"/>
      <c r="D947" s="28"/>
      <c r="E947" s="28"/>
      <c r="F947" s="30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28"/>
      <c r="C948" s="28"/>
      <c r="D948" s="28"/>
      <c r="E948" s="28"/>
      <c r="F948" s="30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28"/>
      <c r="C949" s="28"/>
      <c r="D949" s="28"/>
      <c r="E949" s="28"/>
      <c r="F949" s="30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28"/>
      <c r="C950" s="28"/>
      <c r="D950" s="28"/>
      <c r="E950" s="28"/>
      <c r="F950" s="30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28"/>
      <c r="C951" s="28"/>
      <c r="D951" s="28"/>
      <c r="E951" s="28"/>
      <c r="F951" s="30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28"/>
      <c r="C952" s="28"/>
      <c r="D952" s="28"/>
      <c r="E952" s="28"/>
      <c r="F952" s="30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28"/>
      <c r="C953" s="28"/>
      <c r="D953" s="28"/>
      <c r="E953" s="28"/>
      <c r="F953" s="30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28"/>
      <c r="C954" s="28"/>
      <c r="D954" s="28"/>
      <c r="E954" s="28"/>
      <c r="F954" s="30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28"/>
      <c r="C955" s="28"/>
      <c r="D955" s="28"/>
      <c r="E955" s="28"/>
      <c r="F955" s="30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28"/>
      <c r="C956" s="28"/>
      <c r="D956" s="28"/>
      <c r="E956" s="28"/>
      <c r="F956" s="30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28"/>
      <c r="C957" s="28"/>
      <c r="D957" s="28"/>
      <c r="E957" s="28"/>
      <c r="F957" s="30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28"/>
      <c r="C958" s="28"/>
      <c r="D958" s="28"/>
      <c r="E958" s="28"/>
      <c r="F958" s="30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28"/>
      <c r="C959" s="28"/>
      <c r="D959" s="28"/>
      <c r="E959" s="28"/>
      <c r="F959" s="30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28"/>
      <c r="C960" s="28"/>
      <c r="D960" s="28"/>
      <c r="E960" s="28"/>
      <c r="F960" s="30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28"/>
      <c r="C961" s="28"/>
      <c r="D961" s="28"/>
      <c r="E961" s="28"/>
      <c r="F961" s="30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28"/>
      <c r="C962" s="28"/>
      <c r="D962" s="28"/>
      <c r="E962" s="28"/>
      <c r="F962" s="30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28"/>
      <c r="C963" s="28"/>
      <c r="D963" s="28"/>
      <c r="E963" s="28"/>
      <c r="F963" s="30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28"/>
      <c r="C964" s="28"/>
      <c r="D964" s="28"/>
      <c r="E964" s="28"/>
      <c r="F964" s="30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28"/>
      <c r="C965" s="28"/>
      <c r="D965" s="28"/>
      <c r="E965" s="28"/>
      <c r="F965" s="30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28"/>
      <c r="C966" s="28"/>
      <c r="D966" s="28"/>
      <c r="E966" s="28"/>
      <c r="F966" s="30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28"/>
      <c r="C967" s="28"/>
      <c r="D967" s="28"/>
      <c r="E967" s="28"/>
      <c r="F967" s="30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28"/>
      <c r="C968" s="28"/>
      <c r="D968" s="28"/>
      <c r="E968" s="28"/>
      <c r="F968" s="30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28"/>
      <c r="C969" s="28"/>
      <c r="D969" s="28"/>
      <c r="E969" s="28"/>
      <c r="F969" s="30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28"/>
      <c r="C970" s="28"/>
      <c r="D970" s="28"/>
      <c r="E970" s="28"/>
      <c r="F970" s="30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28"/>
      <c r="C971" s="28"/>
      <c r="D971" s="28"/>
      <c r="E971" s="28"/>
      <c r="F971" s="30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28"/>
      <c r="C972" s="28"/>
      <c r="D972" s="28"/>
      <c r="E972" s="28"/>
      <c r="F972" s="30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28"/>
      <c r="C973" s="28"/>
      <c r="D973" s="28"/>
      <c r="E973" s="28"/>
      <c r="F973" s="30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28"/>
      <c r="C974" s="28"/>
      <c r="D974" s="28"/>
      <c r="E974" s="28"/>
      <c r="F974" s="30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28"/>
      <c r="C975" s="28"/>
      <c r="D975" s="28"/>
      <c r="E975" s="28"/>
      <c r="F975" s="30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28"/>
      <c r="C976" s="28"/>
      <c r="D976" s="28"/>
      <c r="E976" s="28"/>
      <c r="F976" s="30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28"/>
      <c r="C977" s="28"/>
      <c r="D977" s="28"/>
      <c r="E977" s="28"/>
      <c r="F977" s="30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28"/>
      <c r="C978" s="28"/>
      <c r="D978" s="28"/>
      <c r="E978" s="28"/>
      <c r="F978" s="30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28"/>
      <c r="C979" s="28"/>
      <c r="D979" s="28"/>
      <c r="E979" s="28"/>
      <c r="F979" s="30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28"/>
      <c r="C980" s="28"/>
      <c r="D980" s="28"/>
      <c r="E980" s="28"/>
      <c r="F980" s="30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28"/>
      <c r="C981" s="28"/>
      <c r="D981" s="28"/>
      <c r="E981" s="28"/>
      <c r="F981" s="30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28"/>
      <c r="C982" s="28"/>
      <c r="D982" s="28"/>
      <c r="E982" s="28"/>
      <c r="F982" s="30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28"/>
      <c r="C983" s="28"/>
      <c r="D983" s="28"/>
      <c r="E983" s="28"/>
      <c r="F983" s="30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28"/>
      <c r="C984" s="28"/>
      <c r="D984" s="28"/>
      <c r="E984" s="28"/>
      <c r="F984" s="30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28"/>
      <c r="C985" s="28"/>
      <c r="D985" s="28"/>
      <c r="E985" s="28"/>
      <c r="F985" s="30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28"/>
      <c r="C986" s="28"/>
      <c r="D986" s="28"/>
      <c r="E986" s="28"/>
      <c r="F986" s="30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28"/>
      <c r="C987" s="28"/>
      <c r="D987" s="28"/>
      <c r="E987" s="28"/>
      <c r="F987" s="30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28"/>
      <c r="C988" s="28"/>
      <c r="D988" s="28"/>
      <c r="E988" s="28"/>
      <c r="F988" s="30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28"/>
      <c r="C989" s="28"/>
      <c r="D989" s="28"/>
      <c r="E989" s="28"/>
      <c r="F989" s="30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28"/>
      <c r="C990" s="28"/>
      <c r="D990" s="28"/>
      <c r="E990" s="28"/>
      <c r="F990" s="30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28"/>
      <c r="C991" s="28"/>
      <c r="D991" s="28"/>
      <c r="E991" s="28"/>
      <c r="F991" s="30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28"/>
      <c r="C992" s="28"/>
      <c r="D992" s="28"/>
      <c r="E992" s="28"/>
      <c r="F992" s="30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28"/>
      <c r="C993" s="28"/>
      <c r="D993" s="28"/>
      <c r="E993" s="28"/>
      <c r="F993" s="30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28"/>
      <c r="C994" s="28"/>
      <c r="D994" s="28"/>
      <c r="E994" s="28"/>
      <c r="F994" s="30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28"/>
      <c r="C995" s="28"/>
      <c r="D995" s="28"/>
      <c r="E995" s="28"/>
      <c r="F995" s="30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28"/>
      <c r="C996" s="28"/>
      <c r="D996" s="28"/>
      <c r="E996" s="28"/>
      <c r="F996" s="30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28"/>
      <c r="C997" s="28"/>
      <c r="D997" s="28"/>
      <c r="E997" s="28"/>
      <c r="F997" s="30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28"/>
      <c r="C998" s="28"/>
      <c r="D998" s="28"/>
      <c r="E998" s="28"/>
      <c r="F998" s="30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28"/>
      <c r="C999" s="28"/>
      <c r="D999" s="28"/>
      <c r="E999" s="28"/>
      <c r="F999" s="30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28"/>
      <c r="C1000" s="28"/>
      <c r="D1000" s="28"/>
      <c r="E1000" s="28"/>
      <c r="F1000" s="30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28"/>
      <c r="C1001" s="28"/>
      <c r="D1001" s="28"/>
      <c r="E1001" s="28"/>
      <c r="F1001" s="30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28"/>
      <c r="C1002" s="28"/>
      <c r="D1002" s="28"/>
      <c r="E1002" s="28"/>
      <c r="F1002" s="30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28"/>
      <c r="C1003" s="28"/>
      <c r="D1003" s="28"/>
      <c r="E1003" s="28"/>
      <c r="F1003" s="30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28"/>
      <c r="C1004" s="28"/>
      <c r="D1004" s="28"/>
      <c r="E1004" s="28"/>
      <c r="F1004" s="30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28"/>
      <c r="C1005" s="28"/>
      <c r="D1005" s="28"/>
      <c r="E1005" s="28"/>
      <c r="F1005" s="30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28"/>
      <c r="C1006" s="28"/>
      <c r="D1006" s="28"/>
      <c r="E1006" s="28"/>
      <c r="F1006" s="30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28"/>
      <c r="C1007" s="28"/>
      <c r="D1007" s="28"/>
      <c r="E1007" s="28"/>
      <c r="F1007" s="30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28"/>
      <c r="C1008" s="28"/>
      <c r="D1008" s="28"/>
      <c r="E1008" s="28"/>
      <c r="F1008" s="30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1"/>
      <c r="B1009" s="28"/>
      <c r="C1009" s="28"/>
      <c r="D1009" s="28"/>
      <c r="E1009" s="28"/>
      <c r="F1009" s="30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>
      <c r="A1010" s="1"/>
      <c r="B1010" s="28"/>
      <c r="C1010" s="28"/>
      <c r="D1010" s="28"/>
      <c r="E1010" s="28"/>
      <c r="F1010" s="30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>
      <c r="A1011" s="1"/>
      <c r="B1011" s="28"/>
      <c r="C1011" s="28"/>
      <c r="D1011" s="28"/>
      <c r="E1011" s="28"/>
      <c r="F1011" s="30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>
      <c r="A1012" s="1"/>
      <c r="B1012" s="28"/>
      <c r="C1012" s="28"/>
      <c r="D1012" s="28"/>
      <c r="E1012" s="28"/>
      <c r="F1012" s="30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>
      <c r="A1013" s="1"/>
      <c r="B1013" s="28"/>
      <c r="C1013" s="28"/>
      <c r="D1013" s="28"/>
      <c r="E1013" s="28"/>
      <c r="F1013" s="30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>
      <c r="A1014" s="1"/>
      <c r="B1014" s="28"/>
      <c r="C1014" s="28"/>
      <c r="D1014" s="28"/>
      <c r="E1014" s="28"/>
      <c r="F1014" s="30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>
      <c r="A1015" s="1"/>
      <c r="B1015" s="28"/>
      <c r="C1015" s="28"/>
      <c r="D1015" s="28"/>
      <c r="E1015" s="28"/>
      <c r="F1015" s="30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75" customHeight="1">
      <c r="A1016" s="1"/>
      <c r="B1016" s="28"/>
      <c r="C1016" s="28"/>
      <c r="D1016" s="28"/>
      <c r="E1016" s="28"/>
      <c r="F1016" s="30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75" customHeight="1">
      <c r="A1017" s="1"/>
      <c r="B1017" s="28"/>
      <c r="C1017" s="28"/>
      <c r="D1017" s="28"/>
      <c r="E1017" s="28"/>
      <c r="F1017" s="30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.75" customHeight="1">
      <c r="A1018" s="1"/>
      <c r="B1018" s="28"/>
      <c r="C1018" s="28"/>
      <c r="D1018" s="28"/>
      <c r="E1018" s="28"/>
      <c r="F1018" s="30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.75" customHeight="1">
      <c r="A1019" s="1"/>
      <c r="B1019" s="28"/>
      <c r="C1019" s="28"/>
      <c r="D1019" s="28"/>
      <c r="E1019" s="28"/>
      <c r="F1019" s="30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.75" customHeight="1">
      <c r="A1020" s="1"/>
      <c r="B1020" s="28"/>
      <c r="C1020" s="28"/>
      <c r="D1020" s="28"/>
      <c r="E1020" s="28"/>
      <c r="F1020" s="30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.75" customHeight="1">
      <c r="A1021" s="1"/>
      <c r="B1021" s="28"/>
      <c r="C1021" s="28"/>
      <c r="D1021" s="28"/>
      <c r="E1021" s="28"/>
      <c r="F1021" s="30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.75" customHeight="1">
      <c r="A1022" s="1"/>
      <c r="B1022" s="28"/>
      <c r="C1022" s="28"/>
      <c r="D1022" s="28"/>
      <c r="E1022" s="28"/>
      <c r="F1022" s="30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.75" customHeight="1">
      <c r="A1023" s="1"/>
      <c r="B1023" s="28"/>
      <c r="C1023" s="28"/>
      <c r="D1023" s="28"/>
      <c r="E1023" s="28"/>
      <c r="F1023" s="30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5.75" customHeight="1">
      <c r="A1024" s="1"/>
      <c r="B1024" s="28"/>
      <c r="C1024" s="28"/>
      <c r="D1024" s="28"/>
      <c r="E1024" s="28"/>
      <c r="F1024" s="30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5.75" customHeight="1">
      <c r="A1025" s="1"/>
      <c r="B1025" s="28"/>
      <c r="C1025" s="28"/>
      <c r="D1025" s="28"/>
      <c r="E1025" s="28"/>
      <c r="F1025" s="30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</sheetData>
  <mergeCells count="15">
    <mergeCell ref="B56:F56"/>
    <mergeCell ref="B57:F57"/>
    <mergeCell ref="B58:F58"/>
    <mergeCell ref="D1:F1"/>
    <mergeCell ref="C2:F2"/>
    <mergeCell ref="C3:F3"/>
    <mergeCell ref="C4:F4"/>
    <mergeCell ref="C5:F5"/>
    <mergeCell ref="C6:F6"/>
    <mergeCell ref="B7:F7"/>
    <mergeCell ref="B8:F8"/>
    <mergeCell ref="B9:F9"/>
    <mergeCell ref="B53:E53"/>
    <mergeCell ref="B54:F54"/>
    <mergeCell ref="B55:F55"/>
  </mergeCells>
  <conditionalFormatting sqref="E12:E50">
    <cfRule type="notContainsBlanks" dxfId="93" priority="1">
      <formula>LEN(TRIM(E12))&gt;0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11"/>
  <sheetViews>
    <sheetView workbookViewId="0"/>
  </sheetViews>
  <sheetFormatPr baseColWidth="10" defaultColWidth="12.6640625" defaultRowHeight="15" customHeight="1"/>
  <cols>
    <col min="1" max="1" width="12.6640625" customWidth="1"/>
    <col min="2" max="2" width="7.6640625" customWidth="1"/>
    <col min="3" max="3" width="49.1640625" customWidth="1"/>
    <col min="4" max="4" width="28.1640625" customWidth="1"/>
    <col min="5" max="5" width="19.1640625" customWidth="1"/>
    <col min="6" max="6" width="18.33203125" customWidth="1"/>
  </cols>
  <sheetData>
    <row r="1" spans="1:26" ht="15.75" customHeight="1">
      <c r="A1" s="1"/>
      <c r="B1" s="2"/>
      <c r="C1" s="3"/>
      <c r="D1" s="199" t="s">
        <v>0</v>
      </c>
      <c r="E1" s="196"/>
      <c r="F1" s="19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4"/>
      <c r="C2" s="199" t="s">
        <v>1</v>
      </c>
      <c r="D2" s="196"/>
      <c r="E2" s="196"/>
      <c r="F2" s="19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4"/>
      <c r="C3" s="200" t="s">
        <v>2</v>
      </c>
      <c r="D3" s="196"/>
      <c r="E3" s="196"/>
      <c r="F3" s="19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4"/>
      <c r="C4" s="200" t="s">
        <v>3</v>
      </c>
      <c r="D4" s="196"/>
      <c r="E4" s="196"/>
      <c r="F4" s="19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4"/>
      <c r="C5" s="200" t="s">
        <v>4</v>
      </c>
      <c r="D5" s="196"/>
      <c r="E5" s="196"/>
      <c r="F5" s="19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5"/>
      <c r="C6" s="200" t="s">
        <v>5</v>
      </c>
      <c r="D6" s="196"/>
      <c r="E6" s="196"/>
      <c r="F6" s="19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201" t="s">
        <v>6</v>
      </c>
      <c r="C7" s="196"/>
      <c r="D7" s="196"/>
      <c r="E7" s="196"/>
      <c r="F7" s="19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95" t="s">
        <v>7</v>
      </c>
      <c r="C8" s="196"/>
      <c r="D8" s="196"/>
      <c r="E8" s="196"/>
      <c r="F8" s="19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97" t="s">
        <v>122</v>
      </c>
      <c r="C9" s="196"/>
      <c r="D9" s="196"/>
      <c r="E9" s="196"/>
      <c r="F9" s="19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6"/>
      <c r="C10" s="2"/>
      <c r="D10" s="2"/>
      <c r="E10" s="2"/>
      <c r="F10" s="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8" t="s">
        <v>8</v>
      </c>
      <c r="C11" s="9" t="s">
        <v>9</v>
      </c>
      <c r="D11" s="9" t="s">
        <v>10</v>
      </c>
      <c r="E11" s="9" t="s">
        <v>11</v>
      </c>
      <c r="F11" s="10" t="s">
        <v>12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1">
        <v>1</v>
      </c>
      <c r="C12" s="12" t="s">
        <v>123</v>
      </c>
      <c r="D12" s="13" t="s">
        <v>124</v>
      </c>
      <c r="E12" s="14">
        <v>98686.18</v>
      </c>
      <c r="F12" s="34">
        <v>3509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1">
        <v>2</v>
      </c>
      <c r="C13" s="12" t="s">
        <v>125</v>
      </c>
      <c r="D13" s="13" t="s">
        <v>124</v>
      </c>
      <c r="E13" s="14">
        <v>125652.1</v>
      </c>
      <c r="F13" s="15">
        <v>3515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1">
        <v>3</v>
      </c>
      <c r="C14" s="12" t="s">
        <v>126</v>
      </c>
      <c r="D14" s="13" t="s">
        <v>127</v>
      </c>
      <c r="E14" s="14">
        <v>6188</v>
      </c>
      <c r="F14" s="16">
        <v>4231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1">
        <v>4</v>
      </c>
      <c r="C15" s="17" t="s">
        <v>128</v>
      </c>
      <c r="D15" s="13" t="s">
        <v>112</v>
      </c>
      <c r="E15" s="18">
        <v>86614</v>
      </c>
      <c r="F15" s="15">
        <v>3371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1">
        <v>5</v>
      </c>
      <c r="C16" s="12" t="s">
        <v>129</v>
      </c>
      <c r="D16" s="13" t="s">
        <v>73</v>
      </c>
      <c r="E16" s="18">
        <v>16606.53</v>
      </c>
      <c r="F16" s="15">
        <v>2780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1">
        <v>6</v>
      </c>
      <c r="C17" s="17" t="s">
        <v>130</v>
      </c>
      <c r="D17" s="13" t="s">
        <v>131</v>
      </c>
      <c r="E17" s="19">
        <v>28770</v>
      </c>
      <c r="F17" s="15">
        <v>3653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1">
        <v>7</v>
      </c>
      <c r="C18" s="12" t="s">
        <v>132</v>
      </c>
      <c r="D18" s="13" t="s">
        <v>133</v>
      </c>
      <c r="E18" s="19">
        <v>49800</v>
      </c>
      <c r="F18" s="15">
        <v>403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1">
        <v>8</v>
      </c>
      <c r="C19" s="12" t="s">
        <v>134</v>
      </c>
      <c r="D19" s="13" t="s">
        <v>135</v>
      </c>
      <c r="E19" s="19">
        <v>68990</v>
      </c>
      <c r="F19" s="20">
        <v>16396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1">
        <v>9</v>
      </c>
      <c r="C20" s="12" t="s">
        <v>136</v>
      </c>
      <c r="D20" s="13" t="s">
        <v>137</v>
      </c>
      <c r="E20" s="19">
        <v>17390</v>
      </c>
      <c r="F20" s="15">
        <v>262699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1">
        <v>10</v>
      </c>
      <c r="C21" s="12" t="s">
        <v>138</v>
      </c>
      <c r="D21" s="13" t="s">
        <v>139</v>
      </c>
      <c r="E21" s="19">
        <v>139558</v>
      </c>
      <c r="F21" s="15">
        <v>89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1">
        <v>11</v>
      </c>
      <c r="C22" s="12" t="s">
        <v>140</v>
      </c>
      <c r="D22" s="13" t="s">
        <v>81</v>
      </c>
      <c r="E22" s="14">
        <v>5362</v>
      </c>
      <c r="F22" s="31" t="s">
        <v>141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1">
        <v>12</v>
      </c>
      <c r="C23" s="12" t="s">
        <v>142</v>
      </c>
      <c r="D23" s="13" t="s">
        <v>143</v>
      </c>
      <c r="E23" s="14">
        <v>145840</v>
      </c>
      <c r="F23" s="15">
        <v>480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1">
        <v>13</v>
      </c>
      <c r="C24" s="12" t="s">
        <v>144</v>
      </c>
      <c r="D24" s="13" t="s">
        <v>145</v>
      </c>
      <c r="E24" s="14">
        <v>56756</v>
      </c>
      <c r="F24" s="15">
        <v>210901148871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1">
        <v>14</v>
      </c>
      <c r="C25" s="17" t="s">
        <v>146</v>
      </c>
      <c r="D25" s="13" t="s">
        <v>147</v>
      </c>
      <c r="E25" s="14">
        <v>344636.61</v>
      </c>
      <c r="F25" s="31" t="s">
        <v>148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1">
        <v>15</v>
      </c>
      <c r="C26" s="17" t="s">
        <v>149</v>
      </c>
      <c r="D26" s="13" t="s">
        <v>93</v>
      </c>
      <c r="E26" s="18">
        <v>9338</v>
      </c>
      <c r="F26" s="15" t="s">
        <v>150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1">
        <v>16</v>
      </c>
      <c r="C27" s="12" t="s">
        <v>151</v>
      </c>
      <c r="D27" s="13" t="s">
        <v>152</v>
      </c>
      <c r="E27" s="18">
        <v>7274.25</v>
      </c>
      <c r="F27" s="15" t="s">
        <v>153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1">
        <v>17</v>
      </c>
      <c r="C28" s="3" t="s">
        <v>154</v>
      </c>
      <c r="D28" s="13" t="s">
        <v>155</v>
      </c>
      <c r="E28" s="18">
        <v>20980</v>
      </c>
      <c r="F28" s="22">
        <v>151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1">
        <v>18</v>
      </c>
      <c r="C29" s="21" t="s">
        <v>156</v>
      </c>
      <c r="D29" s="13" t="s">
        <v>157</v>
      </c>
      <c r="E29" s="18">
        <v>24600</v>
      </c>
      <c r="F29" s="22" t="s">
        <v>158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1">
        <v>19</v>
      </c>
      <c r="C30" s="21" t="s">
        <v>159</v>
      </c>
      <c r="D30" s="13" t="s">
        <v>160</v>
      </c>
      <c r="E30" s="18">
        <v>542553</v>
      </c>
      <c r="F30" s="23" t="s">
        <v>13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1">
        <v>20</v>
      </c>
      <c r="C31" s="21" t="s">
        <v>161</v>
      </c>
      <c r="D31" s="13" t="s">
        <v>93</v>
      </c>
      <c r="E31" s="18">
        <v>36500</v>
      </c>
      <c r="F31" s="23" t="s">
        <v>162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1">
        <v>21</v>
      </c>
      <c r="C32" s="21" t="s">
        <v>163</v>
      </c>
      <c r="D32" s="13" t="s">
        <v>164</v>
      </c>
      <c r="E32" s="18">
        <v>47520</v>
      </c>
      <c r="F32" s="23">
        <v>59151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1">
        <v>22</v>
      </c>
      <c r="C33" s="21" t="s">
        <v>165</v>
      </c>
      <c r="D33" s="13" t="s">
        <v>166</v>
      </c>
      <c r="E33" s="18">
        <v>190980</v>
      </c>
      <c r="F33" s="23">
        <v>45537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1">
        <v>23</v>
      </c>
      <c r="C34" s="21" t="s">
        <v>167</v>
      </c>
      <c r="D34" s="13" t="s">
        <v>168</v>
      </c>
      <c r="E34" s="18">
        <v>121800</v>
      </c>
      <c r="F34" s="23">
        <v>171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1">
        <v>24</v>
      </c>
      <c r="C35" s="21" t="s">
        <v>169</v>
      </c>
      <c r="D35" s="13" t="s">
        <v>157</v>
      </c>
      <c r="E35" s="18">
        <v>13282</v>
      </c>
      <c r="F35" s="23" t="s">
        <v>170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1">
        <v>25</v>
      </c>
      <c r="C36" s="21" t="s">
        <v>171</v>
      </c>
      <c r="D36" s="13" t="s">
        <v>17</v>
      </c>
      <c r="E36" s="18">
        <v>3500</v>
      </c>
      <c r="F36" s="23" t="s">
        <v>172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8" t="s">
        <v>24</v>
      </c>
      <c r="C37" s="24"/>
      <c r="D37" s="8"/>
      <c r="E37" s="25">
        <f>SUM(E12:E36)</f>
        <v>2209176.67</v>
      </c>
      <c r="F37" s="2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6"/>
      <c r="C38" s="2"/>
      <c r="D38" s="2"/>
      <c r="E38" s="2"/>
      <c r="F38" s="7">
        <v>30000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98" t="s">
        <v>121</v>
      </c>
      <c r="C39" s="196"/>
      <c r="D39" s="196"/>
      <c r="E39" s="196"/>
      <c r="F39" s="27">
        <f>E37*2%</f>
        <v>44183.5334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98" t="s">
        <v>25</v>
      </c>
      <c r="C40" s="196"/>
      <c r="D40" s="196"/>
      <c r="E40" s="196"/>
      <c r="F40" s="196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5.25" customHeight="1">
      <c r="A41" s="1"/>
      <c r="B41" s="198"/>
      <c r="C41" s="196"/>
      <c r="D41" s="196"/>
      <c r="E41" s="196"/>
      <c r="F41" s="196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98" t="s">
        <v>26</v>
      </c>
      <c r="C42" s="196"/>
      <c r="D42" s="196"/>
      <c r="E42" s="196"/>
      <c r="F42" s="196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98" t="s">
        <v>27</v>
      </c>
      <c r="C43" s="196"/>
      <c r="D43" s="196"/>
      <c r="E43" s="196"/>
      <c r="F43" s="196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98" t="s">
        <v>28</v>
      </c>
      <c r="C44" s="196"/>
      <c r="D44" s="196"/>
      <c r="E44" s="196"/>
      <c r="F44" s="196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28"/>
      <c r="C45" s="28"/>
      <c r="D45" s="29"/>
      <c r="E45" s="29"/>
      <c r="F45" s="3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28"/>
      <c r="C46" s="28"/>
      <c r="D46" s="29"/>
      <c r="E46" s="29"/>
      <c r="F46" s="3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28"/>
      <c r="C47" s="28"/>
      <c r="D47" s="29"/>
      <c r="E47" s="29"/>
      <c r="F47" s="3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28"/>
      <c r="C48" s="28"/>
      <c r="D48" s="29"/>
      <c r="E48" s="29"/>
      <c r="F48" s="3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28"/>
      <c r="C49" s="28"/>
      <c r="D49" s="29"/>
      <c r="E49" s="29"/>
      <c r="F49" s="30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28"/>
      <c r="C50" s="28"/>
      <c r="D50" s="29"/>
      <c r="E50" s="29"/>
      <c r="F50" s="3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28"/>
      <c r="C51" s="28"/>
      <c r="D51" s="29"/>
      <c r="E51" s="29"/>
      <c r="F51" s="3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28"/>
      <c r="C52" s="28"/>
      <c r="D52" s="29"/>
      <c r="E52" s="29"/>
      <c r="F52" s="3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28"/>
      <c r="C53" s="28"/>
      <c r="D53" s="29"/>
      <c r="E53" s="29"/>
      <c r="F53" s="3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28"/>
      <c r="C54" s="28"/>
      <c r="D54" s="29"/>
      <c r="E54" s="29"/>
      <c r="F54" s="3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28"/>
      <c r="C55" s="28"/>
      <c r="D55" s="29"/>
      <c r="E55" s="29"/>
      <c r="F55" s="3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28"/>
      <c r="C56" s="28"/>
      <c r="D56" s="29"/>
      <c r="E56" s="29"/>
      <c r="F56" s="3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28"/>
      <c r="C57" s="28"/>
      <c r="D57" s="29"/>
      <c r="E57" s="29"/>
      <c r="F57" s="3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28"/>
      <c r="C58" s="28"/>
      <c r="D58" s="29"/>
      <c r="E58" s="29"/>
      <c r="F58" s="3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28"/>
      <c r="C59" s="28"/>
      <c r="D59" s="29"/>
      <c r="E59" s="29"/>
      <c r="F59" s="3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28"/>
      <c r="C60" s="28"/>
      <c r="D60" s="29"/>
      <c r="E60" s="29"/>
      <c r="F60" s="3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28"/>
      <c r="C61" s="28"/>
      <c r="D61" s="29"/>
      <c r="E61" s="29"/>
      <c r="F61" s="3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28"/>
      <c r="C62" s="28"/>
      <c r="D62" s="29"/>
      <c r="E62" s="29"/>
      <c r="F62" s="3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28"/>
      <c r="C63" s="28"/>
      <c r="D63" s="29"/>
      <c r="E63" s="29"/>
      <c r="F63" s="3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28"/>
      <c r="C64" s="28"/>
      <c r="D64" s="29"/>
      <c r="E64" s="29"/>
      <c r="F64" s="3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28"/>
      <c r="C65" s="28"/>
      <c r="D65" s="29"/>
      <c r="E65" s="29"/>
      <c r="F65" s="3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28"/>
      <c r="C66" s="28"/>
      <c r="D66" s="29"/>
      <c r="E66" s="29"/>
      <c r="F66" s="3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28"/>
      <c r="C67" s="28"/>
      <c r="D67" s="29"/>
      <c r="E67" s="29"/>
      <c r="F67" s="3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28"/>
      <c r="C68" s="28"/>
      <c r="D68" s="29"/>
      <c r="E68" s="29"/>
      <c r="F68" s="3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28"/>
      <c r="C69" s="28"/>
      <c r="D69" s="29"/>
      <c r="E69" s="29"/>
      <c r="F69" s="3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28"/>
      <c r="C70" s="28"/>
      <c r="D70" s="29"/>
      <c r="E70" s="29"/>
      <c r="F70" s="3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28"/>
      <c r="C71" s="28"/>
      <c r="D71" s="29"/>
      <c r="E71" s="29"/>
      <c r="F71" s="3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28"/>
      <c r="C72" s="28"/>
      <c r="D72" s="29"/>
      <c r="E72" s="29"/>
      <c r="F72" s="3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28"/>
      <c r="C73" s="28"/>
      <c r="D73" s="29"/>
      <c r="E73" s="29"/>
      <c r="F73" s="3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28"/>
      <c r="C74" s="28"/>
      <c r="D74" s="29"/>
      <c r="E74" s="29"/>
      <c r="F74" s="3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28"/>
      <c r="C75" s="28"/>
      <c r="D75" s="29"/>
      <c r="E75" s="29"/>
      <c r="F75" s="3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28"/>
      <c r="C76" s="28"/>
      <c r="D76" s="29"/>
      <c r="E76" s="29"/>
      <c r="F76" s="3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28"/>
      <c r="C77" s="28"/>
      <c r="D77" s="29"/>
      <c r="E77" s="29"/>
      <c r="F77" s="3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28"/>
      <c r="C78" s="28"/>
      <c r="D78" s="29"/>
      <c r="E78" s="29"/>
      <c r="F78" s="3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28"/>
      <c r="C79" s="28"/>
      <c r="D79" s="29"/>
      <c r="E79" s="29"/>
      <c r="F79" s="3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28"/>
      <c r="C80" s="28"/>
      <c r="D80" s="29"/>
      <c r="E80" s="29"/>
      <c r="F80" s="3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28"/>
      <c r="C81" s="28"/>
      <c r="D81" s="29"/>
      <c r="E81" s="29"/>
      <c r="F81" s="3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28"/>
      <c r="C82" s="28"/>
      <c r="D82" s="29"/>
      <c r="E82" s="29"/>
      <c r="F82" s="3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28"/>
      <c r="C83" s="28"/>
      <c r="D83" s="29"/>
      <c r="E83" s="29"/>
      <c r="F83" s="3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28"/>
      <c r="C84" s="28"/>
      <c r="D84" s="29"/>
      <c r="E84" s="29"/>
      <c r="F84" s="3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28"/>
      <c r="C85" s="28"/>
      <c r="D85" s="29"/>
      <c r="E85" s="29"/>
      <c r="F85" s="3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28"/>
      <c r="C86" s="28"/>
      <c r="D86" s="29"/>
      <c r="E86" s="29"/>
      <c r="F86" s="3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28"/>
      <c r="C87" s="28"/>
      <c r="D87" s="29"/>
      <c r="E87" s="29"/>
      <c r="F87" s="3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28"/>
      <c r="C88" s="28"/>
      <c r="D88" s="29"/>
      <c r="E88" s="29"/>
      <c r="F88" s="30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28"/>
      <c r="C89" s="28"/>
      <c r="D89" s="29"/>
      <c r="E89" s="29"/>
      <c r="F89" s="3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28"/>
      <c r="C90" s="28"/>
      <c r="D90" s="29"/>
      <c r="E90" s="29"/>
      <c r="F90" s="3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28"/>
      <c r="C91" s="28"/>
      <c r="D91" s="29"/>
      <c r="E91" s="29"/>
      <c r="F91" s="3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28"/>
      <c r="C92" s="28"/>
      <c r="D92" s="29"/>
      <c r="E92" s="29"/>
      <c r="F92" s="3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28"/>
      <c r="C93" s="28"/>
      <c r="D93" s="29"/>
      <c r="E93" s="29"/>
      <c r="F93" s="3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28"/>
      <c r="C94" s="28"/>
      <c r="D94" s="29"/>
      <c r="E94" s="29"/>
      <c r="F94" s="30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28"/>
      <c r="C95" s="28"/>
      <c r="D95" s="29"/>
      <c r="E95" s="29"/>
      <c r="F95" s="3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28"/>
      <c r="C96" s="28"/>
      <c r="D96" s="29"/>
      <c r="E96" s="29"/>
      <c r="F96" s="3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28"/>
      <c r="C97" s="28"/>
      <c r="D97" s="29"/>
      <c r="E97" s="29"/>
      <c r="F97" s="3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28"/>
      <c r="C98" s="28"/>
      <c r="D98" s="29"/>
      <c r="E98" s="29"/>
      <c r="F98" s="3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28"/>
      <c r="C99" s="28"/>
      <c r="D99" s="29"/>
      <c r="E99" s="29"/>
      <c r="F99" s="3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28"/>
      <c r="C100" s="28"/>
      <c r="D100" s="29"/>
      <c r="E100" s="29"/>
      <c r="F100" s="3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28"/>
      <c r="C101" s="28"/>
      <c r="D101" s="29"/>
      <c r="E101" s="29"/>
      <c r="F101" s="30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28"/>
      <c r="C102" s="28"/>
      <c r="D102" s="29"/>
      <c r="E102" s="29"/>
      <c r="F102" s="3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28"/>
      <c r="C103" s="28"/>
      <c r="D103" s="29"/>
      <c r="E103" s="29"/>
      <c r="F103" s="3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28"/>
      <c r="C104" s="28"/>
      <c r="D104" s="29"/>
      <c r="E104" s="29"/>
      <c r="F104" s="3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28"/>
      <c r="C105" s="28"/>
      <c r="D105" s="29"/>
      <c r="E105" s="29"/>
      <c r="F105" s="30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28"/>
      <c r="C106" s="28"/>
      <c r="D106" s="29"/>
      <c r="E106" s="29"/>
      <c r="F106" s="30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28"/>
      <c r="C107" s="28"/>
      <c r="D107" s="29"/>
      <c r="E107" s="29"/>
      <c r="F107" s="30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28"/>
      <c r="C108" s="28"/>
      <c r="D108" s="29"/>
      <c r="E108" s="29"/>
      <c r="F108" s="30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28"/>
      <c r="C109" s="28"/>
      <c r="D109" s="29"/>
      <c r="E109" s="29"/>
      <c r="F109" s="30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28"/>
      <c r="C110" s="28"/>
      <c r="D110" s="29"/>
      <c r="E110" s="29"/>
      <c r="F110" s="30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28"/>
      <c r="C111" s="28"/>
      <c r="D111" s="29"/>
      <c r="E111" s="29"/>
      <c r="F111" s="30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28"/>
      <c r="C112" s="28"/>
      <c r="D112" s="29"/>
      <c r="E112" s="29"/>
      <c r="F112" s="30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28"/>
      <c r="C113" s="28"/>
      <c r="D113" s="29"/>
      <c r="E113" s="29"/>
      <c r="F113" s="30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28"/>
      <c r="C114" s="28"/>
      <c r="D114" s="29"/>
      <c r="E114" s="29"/>
      <c r="F114" s="30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28"/>
      <c r="C115" s="28"/>
      <c r="D115" s="29"/>
      <c r="E115" s="29"/>
      <c r="F115" s="30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28"/>
      <c r="C116" s="28"/>
      <c r="D116" s="29"/>
      <c r="E116" s="29"/>
      <c r="F116" s="30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28"/>
      <c r="C117" s="28"/>
      <c r="D117" s="29"/>
      <c r="E117" s="29"/>
      <c r="F117" s="30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28"/>
      <c r="C118" s="28"/>
      <c r="D118" s="29"/>
      <c r="E118" s="29"/>
      <c r="F118" s="30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28"/>
      <c r="C119" s="28"/>
      <c r="D119" s="29"/>
      <c r="E119" s="29"/>
      <c r="F119" s="30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28"/>
      <c r="C120" s="28"/>
      <c r="D120" s="29"/>
      <c r="E120" s="29"/>
      <c r="F120" s="30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28"/>
      <c r="C121" s="28"/>
      <c r="D121" s="29"/>
      <c r="E121" s="29"/>
      <c r="F121" s="30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28"/>
      <c r="C122" s="28"/>
      <c r="D122" s="29"/>
      <c r="E122" s="29"/>
      <c r="F122" s="30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28"/>
      <c r="C123" s="28"/>
      <c r="D123" s="29"/>
      <c r="E123" s="29"/>
      <c r="F123" s="30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28"/>
      <c r="C124" s="28"/>
      <c r="D124" s="29"/>
      <c r="E124" s="29"/>
      <c r="F124" s="30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28"/>
      <c r="C125" s="28"/>
      <c r="D125" s="29"/>
      <c r="E125" s="29"/>
      <c r="F125" s="30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28"/>
      <c r="C126" s="28"/>
      <c r="D126" s="29"/>
      <c r="E126" s="29"/>
      <c r="F126" s="30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28"/>
      <c r="C127" s="28"/>
      <c r="D127" s="29"/>
      <c r="E127" s="29"/>
      <c r="F127" s="30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28"/>
      <c r="C128" s="28"/>
      <c r="D128" s="29"/>
      <c r="E128" s="29"/>
      <c r="F128" s="30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28"/>
      <c r="C129" s="28"/>
      <c r="D129" s="29"/>
      <c r="E129" s="29"/>
      <c r="F129" s="30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28"/>
      <c r="C130" s="28"/>
      <c r="D130" s="29"/>
      <c r="E130" s="29"/>
      <c r="F130" s="30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28"/>
      <c r="C131" s="28"/>
      <c r="D131" s="29"/>
      <c r="E131" s="29"/>
      <c r="F131" s="30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28"/>
      <c r="C132" s="28"/>
      <c r="D132" s="29"/>
      <c r="E132" s="29"/>
      <c r="F132" s="30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28"/>
      <c r="C133" s="28"/>
      <c r="D133" s="29"/>
      <c r="E133" s="29"/>
      <c r="F133" s="30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28"/>
      <c r="C134" s="28"/>
      <c r="D134" s="29"/>
      <c r="E134" s="29"/>
      <c r="F134" s="30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28"/>
      <c r="C135" s="28"/>
      <c r="D135" s="29"/>
      <c r="E135" s="29"/>
      <c r="F135" s="30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28"/>
      <c r="C136" s="28"/>
      <c r="D136" s="29"/>
      <c r="E136" s="29"/>
      <c r="F136" s="30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28"/>
      <c r="C137" s="28"/>
      <c r="D137" s="29"/>
      <c r="E137" s="29"/>
      <c r="F137" s="3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28"/>
      <c r="C138" s="28"/>
      <c r="D138" s="29"/>
      <c r="E138" s="29"/>
      <c r="F138" s="30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28"/>
      <c r="C139" s="28"/>
      <c r="D139" s="29"/>
      <c r="E139" s="29"/>
      <c r="F139" s="30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28"/>
      <c r="C140" s="28"/>
      <c r="D140" s="29"/>
      <c r="E140" s="29"/>
      <c r="F140" s="30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28"/>
      <c r="C141" s="28"/>
      <c r="D141" s="29"/>
      <c r="E141" s="29"/>
      <c r="F141" s="30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28"/>
      <c r="C142" s="28"/>
      <c r="D142" s="29"/>
      <c r="E142" s="29"/>
      <c r="F142" s="30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28"/>
      <c r="C143" s="28"/>
      <c r="D143" s="29"/>
      <c r="E143" s="29"/>
      <c r="F143" s="30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28"/>
      <c r="C144" s="28"/>
      <c r="D144" s="29"/>
      <c r="E144" s="29"/>
      <c r="F144" s="3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28"/>
      <c r="C145" s="28"/>
      <c r="D145" s="29"/>
      <c r="E145" s="29"/>
      <c r="F145" s="3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28"/>
      <c r="C146" s="28"/>
      <c r="D146" s="29"/>
      <c r="E146" s="29"/>
      <c r="F146" s="3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28"/>
      <c r="C147" s="28"/>
      <c r="D147" s="29"/>
      <c r="E147" s="29"/>
      <c r="F147" s="3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28"/>
      <c r="C148" s="28"/>
      <c r="D148" s="29"/>
      <c r="E148" s="29"/>
      <c r="F148" s="3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28"/>
      <c r="C149" s="28"/>
      <c r="D149" s="29"/>
      <c r="E149" s="29"/>
      <c r="F149" s="3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28"/>
      <c r="C150" s="28"/>
      <c r="D150" s="29"/>
      <c r="E150" s="29"/>
      <c r="F150" s="3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28"/>
      <c r="C151" s="28"/>
      <c r="D151" s="29"/>
      <c r="E151" s="29"/>
      <c r="F151" s="3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28"/>
      <c r="C152" s="28"/>
      <c r="D152" s="29"/>
      <c r="E152" s="29"/>
      <c r="F152" s="3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28"/>
      <c r="C153" s="28"/>
      <c r="D153" s="29"/>
      <c r="E153" s="29"/>
      <c r="F153" s="30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28"/>
      <c r="C154" s="28"/>
      <c r="D154" s="29"/>
      <c r="E154" s="29"/>
      <c r="F154" s="3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28"/>
      <c r="C155" s="28"/>
      <c r="D155" s="29"/>
      <c r="E155" s="29"/>
      <c r="F155" s="30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28"/>
      <c r="C156" s="28"/>
      <c r="D156" s="29"/>
      <c r="E156" s="29"/>
      <c r="F156" s="30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28"/>
      <c r="C157" s="28"/>
      <c r="D157" s="29"/>
      <c r="E157" s="29"/>
      <c r="F157" s="30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28"/>
      <c r="C158" s="28"/>
      <c r="D158" s="29"/>
      <c r="E158" s="29"/>
      <c r="F158" s="30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28"/>
      <c r="C159" s="28"/>
      <c r="D159" s="29"/>
      <c r="E159" s="29"/>
      <c r="F159" s="30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28"/>
      <c r="C160" s="28"/>
      <c r="D160" s="29"/>
      <c r="E160" s="29"/>
      <c r="F160" s="30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28"/>
      <c r="C161" s="28"/>
      <c r="D161" s="29"/>
      <c r="E161" s="29"/>
      <c r="F161" s="30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28"/>
      <c r="C162" s="28"/>
      <c r="D162" s="29"/>
      <c r="E162" s="29"/>
      <c r="F162" s="30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28"/>
      <c r="C163" s="28"/>
      <c r="D163" s="29"/>
      <c r="E163" s="29"/>
      <c r="F163" s="30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28"/>
      <c r="C164" s="28"/>
      <c r="D164" s="29"/>
      <c r="E164" s="29"/>
      <c r="F164" s="30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28"/>
      <c r="C165" s="28"/>
      <c r="D165" s="29"/>
      <c r="E165" s="29"/>
      <c r="F165" s="30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28"/>
      <c r="C166" s="28"/>
      <c r="D166" s="29"/>
      <c r="E166" s="29"/>
      <c r="F166" s="30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28"/>
      <c r="C167" s="28"/>
      <c r="D167" s="29"/>
      <c r="E167" s="29"/>
      <c r="F167" s="30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28"/>
      <c r="C168" s="28"/>
      <c r="D168" s="29"/>
      <c r="E168" s="29"/>
      <c r="F168" s="30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28"/>
      <c r="C169" s="28"/>
      <c r="D169" s="29"/>
      <c r="E169" s="29"/>
      <c r="F169" s="30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28"/>
      <c r="C170" s="28"/>
      <c r="D170" s="29"/>
      <c r="E170" s="29"/>
      <c r="F170" s="30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28"/>
      <c r="C171" s="28"/>
      <c r="D171" s="29"/>
      <c r="E171" s="29"/>
      <c r="F171" s="30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28"/>
      <c r="C172" s="28"/>
      <c r="D172" s="29"/>
      <c r="E172" s="29"/>
      <c r="F172" s="30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28"/>
      <c r="C173" s="28"/>
      <c r="D173" s="29"/>
      <c r="E173" s="29"/>
      <c r="F173" s="30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28"/>
      <c r="C174" s="28"/>
      <c r="D174" s="29"/>
      <c r="E174" s="29"/>
      <c r="F174" s="30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28"/>
      <c r="C175" s="28"/>
      <c r="D175" s="29"/>
      <c r="E175" s="29"/>
      <c r="F175" s="30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28"/>
      <c r="C176" s="28"/>
      <c r="D176" s="29"/>
      <c r="E176" s="29"/>
      <c r="F176" s="30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28"/>
      <c r="C177" s="28"/>
      <c r="D177" s="29"/>
      <c r="E177" s="29"/>
      <c r="F177" s="30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28"/>
      <c r="C178" s="28"/>
      <c r="D178" s="29"/>
      <c r="E178" s="29"/>
      <c r="F178" s="30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28"/>
      <c r="C179" s="28"/>
      <c r="D179" s="29"/>
      <c r="E179" s="29"/>
      <c r="F179" s="30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28"/>
      <c r="C180" s="28"/>
      <c r="D180" s="29"/>
      <c r="E180" s="29"/>
      <c r="F180" s="30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28"/>
      <c r="C181" s="28"/>
      <c r="D181" s="29"/>
      <c r="E181" s="29"/>
      <c r="F181" s="30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28"/>
      <c r="C182" s="28"/>
      <c r="D182" s="29"/>
      <c r="E182" s="29"/>
      <c r="F182" s="30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28"/>
      <c r="C183" s="28"/>
      <c r="D183" s="29"/>
      <c r="E183" s="29"/>
      <c r="F183" s="30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28"/>
      <c r="C184" s="28"/>
      <c r="D184" s="29"/>
      <c r="E184" s="29"/>
      <c r="F184" s="30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28"/>
      <c r="C185" s="28"/>
      <c r="D185" s="29"/>
      <c r="E185" s="29"/>
      <c r="F185" s="30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28"/>
      <c r="C186" s="28"/>
      <c r="D186" s="29"/>
      <c r="E186" s="29"/>
      <c r="F186" s="30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28"/>
      <c r="C187" s="28"/>
      <c r="D187" s="29"/>
      <c r="E187" s="29"/>
      <c r="F187" s="3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28"/>
      <c r="C188" s="28"/>
      <c r="D188" s="29"/>
      <c r="E188" s="29"/>
      <c r="F188" s="30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28"/>
      <c r="C189" s="28"/>
      <c r="D189" s="29"/>
      <c r="E189" s="29"/>
      <c r="F189" s="30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28"/>
      <c r="C190" s="28"/>
      <c r="D190" s="29"/>
      <c r="E190" s="29"/>
      <c r="F190" s="30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28"/>
      <c r="C191" s="28"/>
      <c r="D191" s="29"/>
      <c r="E191" s="29"/>
      <c r="F191" s="30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28"/>
      <c r="C192" s="28"/>
      <c r="D192" s="29"/>
      <c r="E192" s="29"/>
      <c r="F192" s="30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28"/>
      <c r="C193" s="28"/>
      <c r="D193" s="29"/>
      <c r="E193" s="29"/>
      <c r="F193" s="30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28"/>
      <c r="C194" s="28"/>
      <c r="D194" s="29"/>
      <c r="E194" s="29"/>
      <c r="F194" s="30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28"/>
      <c r="C195" s="28"/>
      <c r="D195" s="29"/>
      <c r="E195" s="29"/>
      <c r="F195" s="30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28"/>
      <c r="C196" s="28"/>
      <c r="D196" s="29"/>
      <c r="E196" s="29"/>
      <c r="F196" s="30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28"/>
      <c r="C197" s="28"/>
      <c r="D197" s="29"/>
      <c r="E197" s="29"/>
      <c r="F197" s="30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28"/>
      <c r="C198" s="28"/>
      <c r="D198" s="29"/>
      <c r="E198" s="29"/>
      <c r="F198" s="30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28"/>
      <c r="C199" s="28"/>
      <c r="D199" s="29"/>
      <c r="E199" s="29"/>
      <c r="F199" s="30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28"/>
      <c r="C200" s="28"/>
      <c r="D200" s="29"/>
      <c r="E200" s="29"/>
      <c r="F200" s="30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28"/>
      <c r="C201" s="28"/>
      <c r="D201" s="29"/>
      <c r="E201" s="29"/>
      <c r="F201" s="30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28"/>
      <c r="C202" s="28"/>
      <c r="D202" s="29"/>
      <c r="E202" s="29"/>
      <c r="F202" s="30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28"/>
      <c r="C203" s="28"/>
      <c r="D203" s="29"/>
      <c r="E203" s="29"/>
      <c r="F203" s="30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28"/>
      <c r="C204" s="28"/>
      <c r="D204" s="29"/>
      <c r="E204" s="29"/>
      <c r="F204" s="30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28"/>
      <c r="C205" s="28"/>
      <c r="D205" s="29"/>
      <c r="E205" s="29"/>
      <c r="F205" s="30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28"/>
      <c r="C206" s="28"/>
      <c r="D206" s="29"/>
      <c r="E206" s="29"/>
      <c r="F206" s="30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28"/>
      <c r="C207" s="28"/>
      <c r="D207" s="29"/>
      <c r="E207" s="29"/>
      <c r="F207" s="30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28"/>
      <c r="C208" s="28"/>
      <c r="D208" s="29"/>
      <c r="E208" s="29"/>
      <c r="F208" s="30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28"/>
      <c r="C209" s="28"/>
      <c r="D209" s="29"/>
      <c r="E209" s="29"/>
      <c r="F209" s="30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28"/>
      <c r="C210" s="28"/>
      <c r="D210" s="29"/>
      <c r="E210" s="29"/>
      <c r="F210" s="30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28"/>
      <c r="C211" s="28"/>
      <c r="D211" s="29"/>
      <c r="E211" s="29"/>
      <c r="F211" s="30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28"/>
      <c r="C212" s="28"/>
      <c r="D212" s="29"/>
      <c r="E212" s="29"/>
      <c r="F212" s="30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28"/>
      <c r="C213" s="28"/>
      <c r="D213" s="29"/>
      <c r="E213" s="29"/>
      <c r="F213" s="30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28"/>
      <c r="C214" s="28"/>
      <c r="D214" s="29"/>
      <c r="E214" s="29"/>
      <c r="F214" s="30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28"/>
      <c r="C215" s="28"/>
      <c r="D215" s="29"/>
      <c r="E215" s="29"/>
      <c r="F215" s="30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28"/>
      <c r="C216" s="28"/>
      <c r="D216" s="29"/>
      <c r="E216" s="29"/>
      <c r="F216" s="30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28"/>
      <c r="C217" s="28"/>
      <c r="D217" s="29"/>
      <c r="E217" s="29"/>
      <c r="F217" s="30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28"/>
      <c r="C218" s="28"/>
      <c r="D218" s="29"/>
      <c r="E218" s="29"/>
      <c r="F218" s="30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28"/>
      <c r="C219" s="28"/>
      <c r="D219" s="29"/>
      <c r="E219" s="29"/>
      <c r="F219" s="30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28"/>
      <c r="C220" s="28"/>
      <c r="D220" s="29"/>
      <c r="E220" s="29"/>
      <c r="F220" s="30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28"/>
      <c r="C221" s="28"/>
      <c r="D221" s="29"/>
      <c r="E221" s="29"/>
      <c r="F221" s="30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28"/>
      <c r="C222" s="28"/>
      <c r="D222" s="29"/>
      <c r="E222" s="29"/>
      <c r="F222" s="30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28"/>
      <c r="C223" s="28"/>
      <c r="D223" s="29"/>
      <c r="E223" s="29"/>
      <c r="F223" s="30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28"/>
      <c r="C224" s="28"/>
      <c r="D224" s="29"/>
      <c r="E224" s="29"/>
      <c r="F224" s="30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28"/>
      <c r="C225" s="28"/>
      <c r="D225" s="29"/>
      <c r="E225" s="29"/>
      <c r="F225" s="30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28"/>
      <c r="C226" s="28"/>
      <c r="D226" s="29"/>
      <c r="E226" s="29"/>
      <c r="F226" s="30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28"/>
      <c r="C227" s="28"/>
      <c r="D227" s="29"/>
      <c r="E227" s="29"/>
      <c r="F227" s="30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28"/>
      <c r="C228" s="28"/>
      <c r="D228" s="29"/>
      <c r="E228" s="29"/>
      <c r="F228" s="30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28"/>
      <c r="C229" s="28"/>
      <c r="D229" s="29"/>
      <c r="E229" s="29"/>
      <c r="F229" s="30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28"/>
      <c r="C230" s="28"/>
      <c r="D230" s="29"/>
      <c r="E230" s="29"/>
      <c r="F230" s="30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28"/>
      <c r="C231" s="28"/>
      <c r="D231" s="29"/>
      <c r="E231" s="29"/>
      <c r="F231" s="30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28"/>
      <c r="C232" s="28"/>
      <c r="D232" s="29"/>
      <c r="E232" s="29"/>
      <c r="F232" s="30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28"/>
      <c r="C233" s="28"/>
      <c r="D233" s="29"/>
      <c r="E233" s="29"/>
      <c r="F233" s="30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28"/>
      <c r="C234" s="28"/>
      <c r="D234" s="29"/>
      <c r="E234" s="29"/>
      <c r="F234" s="30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28"/>
      <c r="C235" s="28"/>
      <c r="D235" s="29"/>
      <c r="E235" s="29"/>
      <c r="F235" s="30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28"/>
      <c r="C236" s="28"/>
      <c r="D236" s="29"/>
      <c r="E236" s="29"/>
      <c r="F236" s="30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28"/>
      <c r="C237" s="28"/>
      <c r="D237" s="29"/>
      <c r="E237" s="29"/>
      <c r="F237" s="30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28"/>
      <c r="C238" s="28"/>
      <c r="D238" s="29"/>
      <c r="E238" s="29"/>
      <c r="F238" s="30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28"/>
      <c r="C239" s="28"/>
      <c r="D239" s="29"/>
      <c r="E239" s="29"/>
      <c r="F239" s="30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28"/>
      <c r="C240" s="28"/>
      <c r="D240" s="29"/>
      <c r="E240" s="29"/>
      <c r="F240" s="30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28"/>
      <c r="C241" s="28"/>
      <c r="D241" s="29"/>
      <c r="E241" s="29"/>
      <c r="F241" s="30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28"/>
      <c r="C242" s="28"/>
      <c r="D242" s="29"/>
      <c r="E242" s="29"/>
      <c r="F242" s="30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28"/>
      <c r="C243" s="28"/>
      <c r="D243" s="29"/>
      <c r="E243" s="29"/>
      <c r="F243" s="30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28"/>
      <c r="C244" s="28"/>
      <c r="D244" s="29"/>
      <c r="E244" s="29"/>
      <c r="F244" s="30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28"/>
      <c r="C245" s="28"/>
      <c r="D245" s="28"/>
      <c r="E245" s="28"/>
      <c r="F245" s="30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28"/>
      <c r="C246" s="28"/>
      <c r="D246" s="28"/>
      <c r="E246" s="28"/>
      <c r="F246" s="30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28"/>
      <c r="C247" s="28"/>
      <c r="D247" s="28"/>
      <c r="E247" s="28"/>
      <c r="F247" s="30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28"/>
      <c r="C248" s="28"/>
      <c r="D248" s="28"/>
      <c r="E248" s="28"/>
      <c r="F248" s="30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28"/>
      <c r="C249" s="28"/>
      <c r="D249" s="28"/>
      <c r="E249" s="28"/>
      <c r="F249" s="30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28"/>
      <c r="C250" s="28"/>
      <c r="D250" s="28"/>
      <c r="E250" s="28"/>
      <c r="F250" s="30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28"/>
      <c r="C251" s="28"/>
      <c r="D251" s="28"/>
      <c r="E251" s="28"/>
      <c r="F251" s="30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28"/>
      <c r="C252" s="28"/>
      <c r="D252" s="28"/>
      <c r="E252" s="28"/>
      <c r="F252" s="30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28"/>
      <c r="C253" s="28"/>
      <c r="D253" s="28"/>
      <c r="E253" s="28"/>
      <c r="F253" s="30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28"/>
      <c r="C254" s="28"/>
      <c r="D254" s="28"/>
      <c r="E254" s="28"/>
      <c r="F254" s="30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28"/>
      <c r="C255" s="28"/>
      <c r="D255" s="28"/>
      <c r="E255" s="28"/>
      <c r="F255" s="3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28"/>
      <c r="C256" s="28"/>
      <c r="D256" s="28"/>
      <c r="E256" s="28"/>
      <c r="F256" s="30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28"/>
      <c r="C257" s="28"/>
      <c r="D257" s="28"/>
      <c r="E257" s="28"/>
      <c r="F257" s="30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28"/>
      <c r="C258" s="28"/>
      <c r="D258" s="28"/>
      <c r="E258" s="28"/>
      <c r="F258" s="30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28"/>
      <c r="C259" s="28"/>
      <c r="D259" s="28"/>
      <c r="E259" s="28"/>
      <c r="F259" s="30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28"/>
      <c r="C260" s="28"/>
      <c r="D260" s="28"/>
      <c r="E260" s="28"/>
      <c r="F260" s="30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28"/>
      <c r="C261" s="28"/>
      <c r="D261" s="28"/>
      <c r="E261" s="28"/>
      <c r="F261" s="30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28"/>
      <c r="C262" s="28"/>
      <c r="D262" s="28"/>
      <c r="E262" s="28"/>
      <c r="F262" s="30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28"/>
      <c r="C263" s="28"/>
      <c r="D263" s="28"/>
      <c r="E263" s="28"/>
      <c r="F263" s="30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28"/>
      <c r="C264" s="28"/>
      <c r="D264" s="28"/>
      <c r="E264" s="28"/>
      <c r="F264" s="30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28"/>
      <c r="C265" s="28"/>
      <c r="D265" s="28"/>
      <c r="E265" s="28"/>
      <c r="F265" s="30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28"/>
      <c r="C266" s="28"/>
      <c r="D266" s="28"/>
      <c r="E266" s="28"/>
      <c r="F266" s="30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28"/>
      <c r="C267" s="28"/>
      <c r="D267" s="28"/>
      <c r="E267" s="28"/>
      <c r="F267" s="30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28"/>
      <c r="C268" s="28"/>
      <c r="D268" s="28"/>
      <c r="E268" s="28"/>
      <c r="F268" s="30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28"/>
      <c r="C269" s="28"/>
      <c r="D269" s="28"/>
      <c r="E269" s="28"/>
      <c r="F269" s="30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28"/>
      <c r="C270" s="28"/>
      <c r="D270" s="28"/>
      <c r="E270" s="28"/>
      <c r="F270" s="30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28"/>
      <c r="C271" s="28"/>
      <c r="D271" s="28"/>
      <c r="E271" s="28"/>
      <c r="F271" s="30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28"/>
      <c r="C272" s="28"/>
      <c r="D272" s="28"/>
      <c r="E272" s="28"/>
      <c r="F272" s="30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28"/>
      <c r="C273" s="28"/>
      <c r="D273" s="28"/>
      <c r="E273" s="28"/>
      <c r="F273" s="30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28"/>
      <c r="C274" s="28"/>
      <c r="D274" s="28"/>
      <c r="E274" s="28"/>
      <c r="F274" s="30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28"/>
      <c r="C275" s="28"/>
      <c r="D275" s="28"/>
      <c r="E275" s="28"/>
      <c r="F275" s="30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28"/>
      <c r="C276" s="28"/>
      <c r="D276" s="28"/>
      <c r="E276" s="28"/>
      <c r="F276" s="30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28"/>
      <c r="C277" s="28"/>
      <c r="D277" s="28"/>
      <c r="E277" s="28"/>
      <c r="F277" s="30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28"/>
      <c r="C278" s="28"/>
      <c r="D278" s="28"/>
      <c r="E278" s="28"/>
      <c r="F278" s="30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28"/>
      <c r="C279" s="28"/>
      <c r="D279" s="28"/>
      <c r="E279" s="28"/>
      <c r="F279" s="30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28"/>
      <c r="C280" s="28"/>
      <c r="D280" s="28"/>
      <c r="E280" s="28"/>
      <c r="F280" s="30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28"/>
      <c r="C281" s="28"/>
      <c r="D281" s="28"/>
      <c r="E281" s="28"/>
      <c r="F281" s="30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28"/>
      <c r="C282" s="28"/>
      <c r="D282" s="28"/>
      <c r="E282" s="28"/>
      <c r="F282" s="30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28"/>
      <c r="C283" s="28"/>
      <c r="D283" s="28"/>
      <c r="E283" s="28"/>
      <c r="F283" s="30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28"/>
      <c r="C284" s="28"/>
      <c r="D284" s="28"/>
      <c r="E284" s="28"/>
      <c r="F284" s="30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28"/>
      <c r="C285" s="28"/>
      <c r="D285" s="28"/>
      <c r="E285" s="28"/>
      <c r="F285" s="30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28"/>
      <c r="C286" s="28"/>
      <c r="D286" s="28"/>
      <c r="E286" s="28"/>
      <c r="F286" s="30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28"/>
      <c r="C287" s="28"/>
      <c r="D287" s="28"/>
      <c r="E287" s="28"/>
      <c r="F287" s="30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28"/>
      <c r="C288" s="28"/>
      <c r="D288" s="28"/>
      <c r="E288" s="28"/>
      <c r="F288" s="30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28"/>
      <c r="C289" s="28"/>
      <c r="D289" s="28"/>
      <c r="E289" s="28"/>
      <c r="F289" s="30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28"/>
      <c r="C290" s="28"/>
      <c r="D290" s="28"/>
      <c r="E290" s="28"/>
      <c r="F290" s="30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28"/>
      <c r="C291" s="28"/>
      <c r="D291" s="28"/>
      <c r="E291" s="28"/>
      <c r="F291" s="30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28"/>
      <c r="C292" s="28"/>
      <c r="D292" s="28"/>
      <c r="E292" s="28"/>
      <c r="F292" s="30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28"/>
      <c r="C293" s="28"/>
      <c r="D293" s="28"/>
      <c r="E293" s="28"/>
      <c r="F293" s="30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28"/>
      <c r="C294" s="28"/>
      <c r="D294" s="28"/>
      <c r="E294" s="28"/>
      <c r="F294" s="30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28"/>
      <c r="C295" s="28"/>
      <c r="D295" s="28"/>
      <c r="E295" s="28"/>
      <c r="F295" s="30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28"/>
      <c r="C296" s="28"/>
      <c r="D296" s="28"/>
      <c r="E296" s="28"/>
      <c r="F296" s="30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28"/>
      <c r="C297" s="28"/>
      <c r="D297" s="28"/>
      <c r="E297" s="28"/>
      <c r="F297" s="30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28"/>
      <c r="C298" s="28"/>
      <c r="D298" s="28"/>
      <c r="E298" s="28"/>
      <c r="F298" s="30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28"/>
      <c r="C299" s="28"/>
      <c r="D299" s="28"/>
      <c r="E299" s="28"/>
      <c r="F299" s="30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28"/>
      <c r="C300" s="28"/>
      <c r="D300" s="28"/>
      <c r="E300" s="28"/>
      <c r="F300" s="30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28"/>
      <c r="C301" s="28"/>
      <c r="D301" s="28"/>
      <c r="E301" s="28"/>
      <c r="F301" s="30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28"/>
      <c r="C302" s="28"/>
      <c r="D302" s="28"/>
      <c r="E302" s="28"/>
      <c r="F302" s="30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28"/>
      <c r="C303" s="28"/>
      <c r="D303" s="28"/>
      <c r="E303" s="28"/>
      <c r="F303" s="30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28"/>
      <c r="C304" s="28"/>
      <c r="D304" s="28"/>
      <c r="E304" s="28"/>
      <c r="F304" s="30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28"/>
      <c r="C305" s="28"/>
      <c r="D305" s="28"/>
      <c r="E305" s="28"/>
      <c r="F305" s="30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28"/>
      <c r="C306" s="28"/>
      <c r="D306" s="28"/>
      <c r="E306" s="28"/>
      <c r="F306" s="30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28"/>
      <c r="C307" s="28"/>
      <c r="D307" s="28"/>
      <c r="E307" s="28"/>
      <c r="F307" s="30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28"/>
      <c r="C308" s="28"/>
      <c r="D308" s="28"/>
      <c r="E308" s="28"/>
      <c r="F308" s="30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28"/>
      <c r="C309" s="28"/>
      <c r="D309" s="28"/>
      <c r="E309" s="28"/>
      <c r="F309" s="30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28"/>
      <c r="C310" s="28"/>
      <c r="D310" s="28"/>
      <c r="E310" s="28"/>
      <c r="F310" s="30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28"/>
      <c r="C311" s="28"/>
      <c r="D311" s="28"/>
      <c r="E311" s="28"/>
      <c r="F311" s="30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28"/>
      <c r="C312" s="28"/>
      <c r="D312" s="28"/>
      <c r="E312" s="28"/>
      <c r="F312" s="30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28"/>
      <c r="C313" s="28"/>
      <c r="D313" s="28"/>
      <c r="E313" s="28"/>
      <c r="F313" s="30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28"/>
      <c r="C314" s="28"/>
      <c r="D314" s="28"/>
      <c r="E314" s="28"/>
      <c r="F314" s="30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28"/>
      <c r="C315" s="28"/>
      <c r="D315" s="28"/>
      <c r="E315" s="28"/>
      <c r="F315" s="30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28"/>
      <c r="C316" s="28"/>
      <c r="D316" s="28"/>
      <c r="E316" s="28"/>
      <c r="F316" s="30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28"/>
      <c r="C317" s="28"/>
      <c r="D317" s="28"/>
      <c r="E317" s="28"/>
      <c r="F317" s="30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28"/>
      <c r="C318" s="28"/>
      <c r="D318" s="28"/>
      <c r="E318" s="28"/>
      <c r="F318" s="30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28"/>
      <c r="C319" s="28"/>
      <c r="D319" s="28"/>
      <c r="E319" s="28"/>
      <c r="F319" s="30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28"/>
      <c r="C320" s="28"/>
      <c r="D320" s="28"/>
      <c r="E320" s="28"/>
      <c r="F320" s="30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28"/>
      <c r="C321" s="28"/>
      <c r="D321" s="28"/>
      <c r="E321" s="28"/>
      <c r="F321" s="30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28"/>
      <c r="C322" s="28"/>
      <c r="D322" s="28"/>
      <c r="E322" s="28"/>
      <c r="F322" s="30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28"/>
      <c r="C323" s="28"/>
      <c r="D323" s="28"/>
      <c r="E323" s="28"/>
      <c r="F323" s="30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28"/>
      <c r="C324" s="28"/>
      <c r="D324" s="28"/>
      <c r="E324" s="28"/>
      <c r="F324" s="30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28"/>
      <c r="C325" s="28"/>
      <c r="D325" s="28"/>
      <c r="E325" s="28"/>
      <c r="F325" s="30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28"/>
      <c r="C326" s="28"/>
      <c r="D326" s="28"/>
      <c r="E326" s="28"/>
      <c r="F326" s="30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28"/>
      <c r="C327" s="28"/>
      <c r="D327" s="28"/>
      <c r="E327" s="28"/>
      <c r="F327" s="30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28"/>
      <c r="C328" s="28"/>
      <c r="D328" s="28"/>
      <c r="E328" s="28"/>
      <c r="F328" s="30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28"/>
      <c r="C329" s="28"/>
      <c r="D329" s="28"/>
      <c r="E329" s="28"/>
      <c r="F329" s="30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28"/>
      <c r="C330" s="28"/>
      <c r="D330" s="28"/>
      <c r="E330" s="28"/>
      <c r="F330" s="30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28"/>
      <c r="C331" s="28"/>
      <c r="D331" s="28"/>
      <c r="E331" s="28"/>
      <c r="F331" s="30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28"/>
      <c r="C332" s="28"/>
      <c r="D332" s="28"/>
      <c r="E332" s="28"/>
      <c r="F332" s="30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28"/>
      <c r="C333" s="28"/>
      <c r="D333" s="28"/>
      <c r="E333" s="28"/>
      <c r="F333" s="30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28"/>
      <c r="C334" s="28"/>
      <c r="D334" s="28"/>
      <c r="E334" s="28"/>
      <c r="F334" s="30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28"/>
      <c r="C335" s="28"/>
      <c r="D335" s="28"/>
      <c r="E335" s="28"/>
      <c r="F335" s="30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28"/>
      <c r="C336" s="28"/>
      <c r="D336" s="28"/>
      <c r="E336" s="28"/>
      <c r="F336" s="30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28"/>
      <c r="C337" s="28"/>
      <c r="D337" s="28"/>
      <c r="E337" s="28"/>
      <c r="F337" s="30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28"/>
      <c r="C338" s="28"/>
      <c r="D338" s="28"/>
      <c r="E338" s="28"/>
      <c r="F338" s="30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28"/>
      <c r="C339" s="28"/>
      <c r="D339" s="28"/>
      <c r="E339" s="28"/>
      <c r="F339" s="30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28"/>
      <c r="C340" s="28"/>
      <c r="D340" s="28"/>
      <c r="E340" s="28"/>
      <c r="F340" s="30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28"/>
      <c r="C341" s="28"/>
      <c r="D341" s="28"/>
      <c r="E341" s="28"/>
      <c r="F341" s="30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28"/>
      <c r="C342" s="28"/>
      <c r="D342" s="28"/>
      <c r="E342" s="28"/>
      <c r="F342" s="30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28"/>
      <c r="C343" s="28"/>
      <c r="D343" s="28"/>
      <c r="E343" s="28"/>
      <c r="F343" s="30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28"/>
      <c r="C344" s="28"/>
      <c r="D344" s="28"/>
      <c r="E344" s="28"/>
      <c r="F344" s="30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28"/>
      <c r="C345" s="28"/>
      <c r="D345" s="28"/>
      <c r="E345" s="28"/>
      <c r="F345" s="30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28"/>
      <c r="C346" s="28"/>
      <c r="D346" s="28"/>
      <c r="E346" s="28"/>
      <c r="F346" s="30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28"/>
      <c r="C347" s="28"/>
      <c r="D347" s="28"/>
      <c r="E347" s="28"/>
      <c r="F347" s="30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28"/>
      <c r="C348" s="28"/>
      <c r="D348" s="28"/>
      <c r="E348" s="28"/>
      <c r="F348" s="30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28"/>
      <c r="C349" s="28"/>
      <c r="D349" s="28"/>
      <c r="E349" s="28"/>
      <c r="F349" s="30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28"/>
      <c r="C350" s="28"/>
      <c r="D350" s="28"/>
      <c r="E350" s="28"/>
      <c r="F350" s="30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28"/>
      <c r="C351" s="28"/>
      <c r="D351" s="28"/>
      <c r="E351" s="28"/>
      <c r="F351" s="30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28"/>
      <c r="C352" s="28"/>
      <c r="D352" s="28"/>
      <c r="E352" s="28"/>
      <c r="F352" s="30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28"/>
      <c r="C353" s="28"/>
      <c r="D353" s="28"/>
      <c r="E353" s="28"/>
      <c r="F353" s="30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28"/>
      <c r="C354" s="28"/>
      <c r="D354" s="28"/>
      <c r="E354" s="28"/>
      <c r="F354" s="30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28"/>
      <c r="C355" s="28"/>
      <c r="D355" s="28"/>
      <c r="E355" s="28"/>
      <c r="F355" s="30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28"/>
      <c r="C356" s="28"/>
      <c r="D356" s="28"/>
      <c r="E356" s="28"/>
      <c r="F356" s="30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28"/>
      <c r="C357" s="28"/>
      <c r="D357" s="28"/>
      <c r="E357" s="28"/>
      <c r="F357" s="30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28"/>
      <c r="C358" s="28"/>
      <c r="D358" s="28"/>
      <c r="E358" s="28"/>
      <c r="F358" s="30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28"/>
      <c r="C359" s="28"/>
      <c r="D359" s="28"/>
      <c r="E359" s="28"/>
      <c r="F359" s="30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28"/>
      <c r="C360" s="28"/>
      <c r="D360" s="28"/>
      <c r="E360" s="28"/>
      <c r="F360" s="30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28"/>
      <c r="C361" s="28"/>
      <c r="D361" s="28"/>
      <c r="E361" s="28"/>
      <c r="F361" s="30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28"/>
      <c r="C362" s="28"/>
      <c r="D362" s="28"/>
      <c r="E362" s="28"/>
      <c r="F362" s="30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28"/>
      <c r="C363" s="28"/>
      <c r="D363" s="28"/>
      <c r="E363" s="28"/>
      <c r="F363" s="30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28"/>
      <c r="C364" s="28"/>
      <c r="D364" s="28"/>
      <c r="E364" s="28"/>
      <c r="F364" s="30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28"/>
      <c r="C365" s="28"/>
      <c r="D365" s="28"/>
      <c r="E365" s="28"/>
      <c r="F365" s="30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28"/>
      <c r="C366" s="28"/>
      <c r="D366" s="28"/>
      <c r="E366" s="28"/>
      <c r="F366" s="30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28"/>
      <c r="C367" s="28"/>
      <c r="D367" s="28"/>
      <c r="E367" s="28"/>
      <c r="F367" s="30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28"/>
      <c r="C368" s="28"/>
      <c r="D368" s="28"/>
      <c r="E368" s="28"/>
      <c r="F368" s="30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28"/>
      <c r="C369" s="28"/>
      <c r="D369" s="28"/>
      <c r="E369" s="28"/>
      <c r="F369" s="30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28"/>
      <c r="C370" s="28"/>
      <c r="D370" s="28"/>
      <c r="E370" s="28"/>
      <c r="F370" s="30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28"/>
      <c r="C371" s="28"/>
      <c r="D371" s="28"/>
      <c r="E371" s="28"/>
      <c r="F371" s="30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28"/>
      <c r="C372" s="28"/>
      <c r="D372" s="28"/>
      <c r="E372" s="28"/>
      <c r="F372" s="30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28"/>
      <c r="C373" s="28"/>
      <c r="D373" s="28"/>
      <c r="E373" s="28"/>
      <c r="F373" s="30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28"/>
      <c r="C374" s="28"/>
      <c r="D374" s="28"/>
      <c r="E374" s="28"/>
      <c r="F374" s="30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28"/>
      <c r="C375" s="28"/>
      <c r="D375" s="28"/>
      <c r="E375" s="28"/>
      <c r="F375" s="30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28"/>
      <c r="C376" s="28"/>
      <c r="D376" s="28"/>
      <c r="E376" s="28"/>
      <c r="F376" s="30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28"/>
      <c r="C377" s="28"/>
      <c r="D377" s="28"/>
      <c r="E377" s="28"/>
      <c r="F377" s="30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28"/>
      <c r="C378" s="28"/>
      <c r="D378" s="28"/>
      <c r="E378" s="28"/>
      <c r="F378" s="30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28"/>
      <c r="C379" s="28"/>
      <c r="D379" s="28"/>
      <c r="E379" s="28"/>
      <c r="F379" s="30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28"/>
      <c r="C380" s="28"/>
      <c r="D380" s="28"/>
      <c r="E380" s="28"/>
      <c r="F380" s="30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28"/>
      <c r="C381" s="28"/>
      <c r="D381" s="28"/>
      <c r="E381" s="28"/>
      <c r="F381" s="30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28"/>
      <c r="C382" s="28"/>
      <c r="D382" s="28"/>
      <c r="E382" s="28"/>
      <c r="F382" s="30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28"/>
      <c r="C383" s="28"/>
      <c r="D383" s="28"/>
      <c r="E383" s="28"/>
      <c r="F383" s="30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28"/>
      <c r="C384" s="28"/>
      <c r="D384" s="28"/>
      <c r="E384" s="28"/>
      <c r="F384" s="30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28"/>
      <c r="C385" s="28"/>
      <c r="D385" s="28"/>
      <c r="E385" s="28"/>
      <c r="F385" s="30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28"/>
      <c r="C386" s="28"/>
      <c r="D386" s="28"/>
      <c r="E386" s="28"/>
      <c r="F386" s="30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28"/>
      <c r="C387" s="28"/>
      <c r="D387" s="28"/>
      <c r="E387" s="28"/>
      <c r="F387" s="30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28"/>
      <c r="C388" s="28"/>
      <c r="D388" s="28"/>
      <c r="E388" s="28"/>
      <c r="F388" s="30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28"/>
      <c r="C389" s="28"/>
      <c r="D389" s="28"/>
      <c r="E389" s="28"/>
      <c r="F389" s="30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28"/>
      <c r="C390" s="28"/>
      <c r="D390" s="28"/>
      <c r="E390" s="28"/>
      <c r="F390" s="30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28"/>
      <c r="C391" s="28"/>
      <c r="D391" s="28"/>
      <c r="E391" s="28"/>
      <c r="F391" s="30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28"/>
      <c r="C392" s="28"/>
      <c r="D392" s="28"/>
      <c r="E392" s="28"/>
      <c r="F392" s="30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28"/>
      <c r="C393" s="28"/>
      <c r="D393" s="28"/>
      <c r="E393" s="28"/>
      <c r="F393" s="30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28"/>
      <c r="C394" s="28"/>
      <c r="D394" s="28"/>
      <c r="E394" s="28"/>
      <c r="F394" s="30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28"/>
      <c r="C395" s="28"/>
      <c r="D395" s="28"/>
      <c r="E395" s="28"/>
      <c r="F395" s="30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28"/>
      <c r="C396" s="28"/>
      <c r="D396" s="28"/>
      <c r="E396" s="28"/>
      <c r="F396" s="30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28"/>
      <c r="C397" s="28"/>
      <c r="D397" s="28"/>
      <c r="E397" s="28"/>
      <c r="F397" s="30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28"/>
      <c r="C398" s="28"/>
      <c r="D398" s="28"/>
      <c r="E398" s="28"/>
      <c r="F398" s="30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28"/>
      <c r="C399" s="28"/>
      <c r="D399" s="28"/>
      <c r="E399" s="28"/>
      <c r="F399" s="30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28"/>
      <c r="C400" s="28"/>
      <c r="D400" s="28"/>
      <c r="E400" s="28"/>
      <c r="F400" s="30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28"/>
      <c r="C401" s="28"/>
      <c r="D401" s="28"/>
      <c r="E401" s="28"/>
      <c r="F401" s="30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28"/>
      <c r="C402" s="28"/>
      <c r="D402" s="28"/>
      <c r="E402" s="28"/>
      <c r="F402" s="30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28"/>
      <c r="C403" s="28"/>
      <c r="D403" s="28"/>
      <c r="E403" s="28"/>
      <c r="F403" s="30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28"/>
      <c r="C404" s="28"/>
      <c r="D404" s="28"/>
      <c r="E404" s="28"/>
      <c r="F404" s="30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28"/>
      <c r="C405" s="28"/>
      <c r="D405" s="28"/>
      <c r="E405" s="28"/>
      <c r="F405" s="30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28"/>
      <c r="C406" s="28"/>
      <c r="D406" s="28"/>
      <c r="E406" s="28"/>
      <c r="F406" s="30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28"/>
      <c r="C407" s="28"/>
      <c r="D407" s="28"/>
      <c r="E407" s="28"/>
      <c r="F407" s="30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28"/>
      <c r="C408" s="28"/>
      <c r="D408" s="28"/>
      <c r="E408" s="28"/>
      <c r="F408" s="30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28"/>
      <c r="C409" s="28"/>
      <c r="D409" s="28"/>
      <c r="E409" s="28"/>
      <c r="F409" s="30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28"/>
      <c r="C410" s="28"/>
      <c r="D410" s="28"/>
      <c r="E410" s="28"/>
      <c r="F410" s="30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28"/>
      <c r="C411" s="28"/>
      <c r="D411" s="28"/>
      <c r="E411" s="28"/>
      <c r="F411" s="30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28"/>
      <c r="C412" s="28"/>
      <c r="D412" s="28"/>
      <c r="E412" s="28"/>
      <c r="F412" s="30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28"/>
      <c r="C413" s="28"/>
      <c r="D413" s="28"/>
      <c r="E413" s="28"/>
      <c r="F413" s="30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28"/>
      <c r="C414" s="28"/>
      <c r="D414" s="28"/>
      <c r="E414" s="28"/>
      <c r="F414" s="30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28"/>
      <c r="C415" s="28"/>
      <c r="D415" s="28"/>
      <c r="E415" s="28"/>
      <c r="F415" s="30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28"/>
      <c r="C416" s="28"/>
      <c r="D416" s="28"/>
      <c r="E416" s="28"/>
      <c r="F416" s="30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28"/>
      <c r="C417" s="28"/>
      <c r="D417" s="28"/>
      <c r="E417" s="28"/>
      <c r="F417" s="30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28"/>
      <c r="C418" s="28"/>
      <c r="D418" s="28"/>
      <c r="E418" s="28"/>
      <c r="F418" s="30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28"/>
      <c r="C419" s="28"/>
      <c r="D419" s="28"/>
      <c r="E419" s="28"/>
      <c r="F419" s="30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28"/>
      <c r="C420" s="28"/>
      <c r="D420" s="28"/>
      <c r="E420" s="28"/>
      <c r="F420" s="30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28"/>
      <c r="C421" s="28"/>
      <c r="D421" s="28"/>
      <c r="E421" s="28"/>
      <c r="F421" s="30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28"/>
      <c r="C422" s="28"/>
      <c r="D422" s="28"/>
      <c r="E422" s="28"/>
      <c r="F422" s="30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28"/>
      <c r="C423" s="28"/>
      <c r="D423" s="28"/>
      <c r="E423" s="28"/>
      <c r="F423" s="30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28"/>
      <c r="C424" s="28"/>
      <c r="D424" s="28"/>
      <c r="E424" s="28"/>
      <c r="F424" s="30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28"/>
      <c r="C425" s="28"/>
      <c r="D425" s="28"/>
      <c r="E425" s="28"/>
      <c r="F425" s="30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28"/>
      <c r="C426" s="28"/>
      <c r="D426" s="28"/>
      <c r="E426" s="28"/>
      <c r="F426" s="30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28"/>
      <c r="C427" s="28"/>
      <c r="D427" s="28"/>
      <c r="E427" s="28"/>
      <c r="F427" s="30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28"/>
      <c r="C428" s="28"/>
      <c r="D428" s="28"/>
      <c r="E428" s="28"/>
      <c r="F428" s="30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28"/>
      <c r="C429" s="28"/>
      <c r="D429" s="28"/>
      <c r="E429" s="28"/>
      <c r="F429" s="30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28"/>
      <c r="C430" s="28"/>
      <c r="D430" s="28"/>
      <c r="E430" s="28"/>
      <c r="F430" s="30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28"/>
      <c r="C431" s="28"/>
      <c r="D431" s="28"/>
      <c r="E431" s="28"/>
      <c r="F431" s="30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28"/>
      <c r="C432" s="28"/>
      <c r="D432" s="28"/>
      <c r="E432" s="28"/>
      <c r="F432" s="30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28"/>
      <c r="C433" s="28"/>
      <c r="D433" s="28"/>
      <c r="E433" s="28"/>
      <c r="F433" s="30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28"/>
      <c r="C434" s="28"/>
      <c r="D434" s="28"/>
      <c r="E434" s="28"/>
      <c r="F434" s="30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28"/>
      <c r="C435" s="28"/>
      <c r="D435" s="28"/>
      <c r="E435" s="28"/>
      <c r="F435" s="30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28"/>
      <c r="C436" s="28"/>
      <c r="D436" s="28"/>
      <c r="E436" s="28"/>
      <c r="F436" s="30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28"/>
      <c r="C437" s="28"/>
      <c r="D437" s="28"/>
      <c r="E437" s="28"/>
      <c r="F437" s="30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28"/>
      <c r="C438" s="28"/>
      <c r="D438" s="28"/>
      <c r="E438" s="28"/>
      <c r="F438" s="30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28"/>
      <c r="C439" s="28"/>
      <c r="D439" s="28"/>
      <c r="E439" s="28"/>
      <c r="F439" s="30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28"/>
      <c r="C440" s="28"/>
      <c r="D440" s="28"/>
      <c r="E440" s="28"/>
      <c r="F440" s="30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28"/>
      <c r="C441" s="28"/>
      <c r="D441" s="28"/>
      <c r="E441" s="28"/>
      <c r="F441" s="30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28"/>
      <c r="C442" s="28"/>
      <c r="D442" s="28"/>
      <c r="E442" s="28"/>
      <c r="F442" s="30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28"/>
      <c r="C443" s="28"/>
      <c r="D443" s="28"/>
      <c r="E443" s="28"/>
      <c r="F443" s="30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28"/>
      <c r="C444" s="28"/>
      <c r="D444" s="28"/>
      <c r="E444" s="28"/>
      <c r="F444" s="30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28"/>
      <c r="C445" s="28"/>
      <c r="D445" s="28"/>
      <c r="E445" s="28"/>
      <c r="F445" s="30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28"/>
      <c r="C446" s="28"/>
      <c r="D446" s="28"/>
      <c r="E446" s="28"/>
      <c r="F446" s="30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28"/>
      <c r="C447" s="28"/>
      <c r="D447" s="28"/>
      <c r="E447" s="28"/>
      <c r="F447" s="30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28"/>
      <c r="C448" s="28"/>
      <c r="D448" s="28"/>
      <c r="E448" s="28"/>
      <c r="F448" s="30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28"/>
      <c r="C449" s="28"/>
      <c r="D449" s="28"/>
      <c r="E449" s="28"/>
      <c r="F449" s="30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28"/>
      <c r="C450" s="28"/>
      <c r="D450" s="28"/>
      <c r="E450" s="28"/>
      <c r="F450" s="30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28"/>
      <c r="C451" s="28"/>
      <c r="D451" s="28"/>
      <c r="E451" s="28"/>
      <c r="F451" s="30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28"/>
      <c r="C452" s="28"/>
      <c r="D452" s="28"/>
      <c r="E452" s="28"/>
      <c r="F452" s="30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28"/>
      <c r="C453" s="28"/>
      <c r="D453" s="28"/>
      <c r="E453" s="28"/>
      <c r="F453" s="30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28"/>
      <c r="C454" s="28"/>
      <c r="D454" s="28"/>
      <c r="E454" s="28"/>
      <c r="F454" s="30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28"/>
      <c r="C455" s="28"/>
      <c r="D455" s="28"/>
      <c r="E455" s="28"/>
      <c r="F455" s="30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28"/>
      <c r="C456" s="28"/>
      <c r="D456" s="28"/>
      <c r="E456" s="28"/>
      <c r="F456" s="30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28"/>
      <c r="C457" s="28"/>
      <c r="D457" s="28"/>
      <c r="E457" s="28"/>
      <c r="F457" s="30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28"/>
      <c r="C458" s="28"/>
      <c r="D458" s="28"/>
      <c r="E458" s="28"/>
      <c r="F458" s="30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28"/>
      <c r="C459" s="28"/>
      <c r="D459" s="28"/>
      <c r="E459" s="28"/>
      <c r="F459" s="30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28"/>
      <c r="C460" s="28"/>
      <c r="D460" s="28"/>
      <c r="E460" s="28"/>
      <c r="F460" s="30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28"/>
      <c r="C461" s="28"/>
      <c r="D461" s="28"/>
      <c r="E461" s="28"/>
      <c r="F461" s="30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28"/>
      <c r="C462" s="28"/>
      <c r="D462" s="28"/>
      <c r="E462" s="28"/>
      <c r="F462" s="30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28"/>
      <c r="C463" s="28"/>
      <c r="D463" s="28"/>
      <c r="E463" s="28"/>
      <c r="F463" s="30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28"/>
      <c r="C464" s="28"/>
      <c r="D464" s="28"/>
      <c r="E464" s="28"/>
      <c r="F464" s="30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28"/>
      <c r="C465" s="28"/>
      <c r="D465" s="28"/>
      <c r="E465" s="28"/>
      <c r="F465" s="30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28"/>
      <c r="C466" s="28"/>
      <c r="D466" s="28"/>
      <c r="E466" s="28"/>
      <c r="F466" s="30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28"/>
      <c r="C467" s="28"/>
      <c r="D467" s="28"/>
      <c r="E467" s="28"/>
      <c r="F467" s="30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28"/>
      <c r="C468" s="28"/>
      <c r="D468" s="28"/>
      <c r="E468" s="28"/>
      <c r="F468" s="30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28"/>
      <c r="C469" s="28"/>
      <c r="D469" s="28"/>
      <c r="E469" s="28"/>
      <c r="F469" s="30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28"/>
      <c r="C470" s="28"/>
      <c r="D470" s="28"/>
      <c r="E470" s="28"/>
      <c r="F470" s="30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28"/>
      <c r="C471" s="28"/>
      <c r="D471" s="28"/>
      <c r="E471" s="28"/>
      <c r="F471" s="30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28"/>
      <c r="C472" s="28"/>
      <c r="D472" s="28"/>
      <c r="E472" s="28"/>
      <c r="F472" s="30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28"/>
      <c r="C473" s="28"/>
      <c r="D473" s="28"/>
      <c r="E473" s="28"/>
      <c r="F473" s="30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28"/>
      <c r="C474" s="28"/>
      <c r="D474" s="28"/>
      <c r="E474" s="28"/>
      <c r="F474" s="30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28"/>
      <c r="C475" s="28"/>
      <c r="D475" s="28"/>
      <c r="E475" s="28"/>
      <c r="F475" s="30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28"/>
      <c r="C476" s="28"/>
      <c r="D476" s="28"/>
      <c r="E476" s="28"/>
      <c r="F476" s="30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28"/>
      <c r="C477" s="28"/>
      <c r="D477" s="28"/>
      <c r="E477" s="28"/>
      <c r="F477" s="30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28"/>
      <c r="C478" s="28"/>
      <c r="D478" s="28"/>
      <c r="E478" s="28"/>
      <c r="F478" s="30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28"/>
      <c r="C479" s="28"/>
      <c r="D479" s="28"/>
      <c r="E479" s="28"/>
      <c r="F479" s="30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28"/>
      <c r="C480" s="28"/>
      <c r="D480" s="28"/>
      <c r="E480" s="28"/>
      <c r="F480" s="30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28"/>
      <c r="C481" s="28"/>
      <c r="D481" s="28"/>
      <c r="E481" s="28"/>
      <c r="F481" s="30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28"/>
      <c r="C482" s="28"/>
      <c r="D482" s="28"/>
      <c r="E482" s="28"/>
      <c r="F482" s="30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28"/>
      <c r="C483" s="28"/>
      <c r="D483" s="28"/>
      <c r="E483" s="28"/>
      <c r="F483" s="30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28"/>
      <c r="C484" s="28"/>
      <c r="D484" s="28"/>
      <c r="E484" s="28"/>
      <c r="F484" s="30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28"/>
      <c r="C485" s="28"/>
      <c r="D485" s="28"/>
      <c r="E485" s="28"/>
      <c r="F485" s="30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28"/>
      <c r="C486" s="28"/>
      <c r="D486" s="28"/>
      <c r="E486" s="28"/>
      <c r="F486" s="30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28"/>
      <c r="C487" s="28"/>
      <c r="D487" s="28"/>
      <c r="E487" s="28"/>
      <c r="F487" s="30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28"/>
      <c r="C488" s="28"/>
      <c r="D488" s="28"/>
      <c r="E488" s="28"/>
      <c r="F488" s="30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28"/>
      <c r="C489" s="28"/>
      <c r="D489" s="28"/>
      <c r="E489" s="28"/>
      <c r="F489" s="30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28"/>
      <c r="C490" s="28"/>
      <c r="D490" s="28"/>
      <c r="E490" s="28"/>
      <c r="F490" s="30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28"/>
      <c r="C491" s="28"/>
      <c r="D491" s="28"/>
      <c r="E491" s="28"/>
      <c r="F491" s="30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28"/>
      <c r="C492" s="28"/>
      <c r="D492" s="28"/>
      <c r="E492" s="28"/>
      <c r="F492" s="30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28"/>
      <c r="C493" s="28"/>
      <c r="D493" s="28"/>
      <c r="E493" s="28"/>
      <c r="F493" s="30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28"/>
      <c r="C494" s="28"/>
      <c r="D494" s="28"/>
      <c r="E494" s="28"/>
      <c r="F494" s="30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28"/>
      <c r="C495" s="28"/>
      <c r="D495" s="28"/>
      <c r="E495" s="28"/>
      <c r="F495" s="30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28"/>
      <c r="C496" s="28"/>
      <c r="D496" s="28"/>
      <c r="E496" s="28"/>
      <c r="F496" s="30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28"/>
      <c r="C497" s="28"/>
      <c r="D497" s="28"/>
      <c r="E497" s="28"/>
      <c r="F497" s="30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28"/>
      <c r="C498" s="28"/>
      <c r="D498" s="28"/>
      <c r="E498" s="28"/>
      <c r="F498" s="30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28"/>
      <c r="C499" s="28"/>
      <c r="D499" s="28"/>
      <c r="E499" s="28"/>
      <c r="F499" s="30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28"/>
      <c r="C500" s="28"/>
      <c r="D500" s="28"/>
      <c r="E500" s="28"/>
      <c r="F500" s="30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28"/>
      <c r="C501" s="28"/>
      <c r="D501" s="28"/>
      <c r="E501" s="28"/>
      <c r="F501" s="30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28"/>
      <c r="C502" s="28"/>
      <c r="D502" s="28"/>
      <c r="E502" s="28"/>
      <c r="F502" s="30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28"/>
      <c r="C503" s="28"/>
      <c r="D503" s="28"/>
      <c r="E503" s="28"/>
      <c r="F503" s="30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28"/>
      <c r="C504" s="28"/>
      <c r="D504" s="28"/>
      <c r="E504" s="28"/>
      <c r="F504" s="30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28"/>
      <c r="C505" s="28"/>
      <c r="D505" s="28"/>
      <c r="E505" s="28"/>
      <c r="F505" s="30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28"/>
      <c r="C506" s="28"/>
      <c r="D506" s="28"/>
      <c r="E506" s="28"/>
      <c r="F506" s="30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28"/>
      <c r="C507" s="28"/>
      <c r="D507" s="28"/>
      <c r="E507" s="28"/>
      <c r="F507" s="30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28"/>
      <c r="C508" s="28"/>
      <c r="D508" s="28"/>
      <c r="E508" s="28"/>
      <c r="F508" s="30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28"/>
      <c r="C509" s="28"/>
      <c r="D509" s="28"/>
      <c r="E509" s="28"/>
      <c r="F509" s="30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28"/>
      <c r="C510" s="28"/>
      <c r="D510" s="28"/>
      <c r="E510" s="28"/>
      <c r="F510" s="30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28"/>
      <c r="C511" s="28"/>
      <c r="D511" s="28"/>
      <c r="E511" s="28"/>
      <c r="F511" s="30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28"/>
      <c r="C512" s="28"/>
      <c r="D512" s="28"/>
      <c r="E512" s="28"/>
      <c r="F512" s="30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28"/>
      <c r="C513" s="28"/>
      <c r="D513" s="28"/>
      <c r="E513" s="28"/>
      <c r="F513" s="30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28"/>
      <c r="C514" s="28"/>
      <c r="D514" s="28"/>
      <c r="E514" s="28"/>
      <c r="F514" s="30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28"/>
      <c r="C515" s="28"/>
      <c r="D515" s="28"/>
      <c r="E515" s="28"/>
      <c r="F515" s="30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28"/>
      <c r="C516" s="28"/>
      <c r="D516" s="28"/>
      <c r="E516" s="28"/>
      <c r="F516" s="30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28"/>
      <c r="C517" s="28"/>
      <c r="D517" s="28"/>
      <c r="E517" s="28"/>
      <c r="F517" s="30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28"/>
      <c r="C518" s="28"/>
      <c r="D518" s="28"/>
      <c r="E518" s="28"/>
      <c r="F518" s="30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28"/>
      <c r="C519" s="28"/>
      <c r="D519" s="28"/>
      <c r="E519" s="28"/>
      <c r="F519" s="30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28"/>
      <c r="C520" s="28"/>
      <c r="D520" s="28"/>
      <c r="E520" s="28"/>
      <c r="F520" s="30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28"/>
      <c r="C521" s="28"/>
      <c r="D521" s="28"/>
      <c r="E521" s="28"/>
      <c r="F521" s="30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28"/>
      <c r="C522" s="28"/>
      <c r="D522" s="28"/>
      <c r="E522" s="28"/>
      <c r="F522" s="30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28"/>
      <c r="C523" s="28"/>
      <c r="D523" s="28"/>
      <c r="E523" s="28"/>
      <c r="F523" s="30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28"/>
      <c r="C524" s="28"/>
      <c r="D524" s="28"/>
      <c r="E524" s="28"/>
      <c r="F524" s="30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28"/>
      <c r="C525" s="28"/>
      <c r="D525" s="28"/>
      <c r="E525" s="28"/>
      <c r="F525" s="30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28"/>
      <c r="C526" s="28"/>
      <c r="D526" s="28"/>
      <c r="E526" s="28"/>
      <c r="F526" s="30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28"/>
      <c r="C527" s="28"/>
      <c r="D527" s="28"/>
      <c r="E527" s="28"/>
      <c r="F527" s="30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28"/>
      <c r="C528" s="28"/>
      <c r="D528" s="28"/>
      <c r="E528" s="28"/>
      <c r="F528" s="30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28"/>
      <c r="C529" s="28"/>
      <c r="D529" s="28"/>
      <c r="E529" s="28"/>
      <c r="F529" s="30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28"/>
      <c r="C530" s="28"/>
      <c r="D530" s="28"/>
      <c r="E530" s="28"/>
      <c r="F530" s="30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28"/>
      <c r="C531" s="28"/>
      <c r="D531" s="28"/>
      <c r="E531" s="28"/>
      <c r="F531" s="30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28"/>
      <c r="C532" s="28"/>
      <c r="D532" s="28"/>
      <c r="E532" s="28"/>
      <c r="F532" s="30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28"/>
      <c r="C533" s="28"/>
      <c r="D533" s="28"/>
      <c r="E533" s="28"/>
      <c r="F533" s="30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28"/>
      <c r="C534" s="28"/>
      <c r="D534" s="28"/>
      <c r="E534" s="28"/>
      <c r="F534" s="30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28"/>
      <c r="C535" s="28"/>
      <c r="D535" s="28"/>
      <c r="E535" s="28"/>
      <c r="F535" s="30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28"/>
      <c r="C536" s="28"/>
      <c r="D536" s="28"/>
      <c r="E536" s="28"/>
      <c r="F536" s="30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28"/>
      <c r="C537" s="28"/>
      <c r="D537" s="28"/>
      <c r="E537" s="28"/>
      <c r="F537" s="30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28"/>
      <c r="C538" s="28"/>
      <c r="D538" s="28"/>
      <c r="E538" s="28"/>
      <c r="F538" s="30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28"/>
      <c r="C539" s="28"/>
      <c r="D539" s="28"/>
      <c r="E539" s="28"/>
      <c r="F539" s="30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28"/>
      <c r="C540" s="28"/>
      <c r="D540" s="28"/>
      <c r="E540" s="28"/>
      <c r="F540" s="30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28"/>
      <c r="C541" s="28"/>
      <c r="D541" s="28"/>
      <c r="E541" s="28"/>
      <c r="F541" s="30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28"/>
      <c r="C542" s="28"/>
      <c r="D542" s="28"/>
      <c r="E542" s="28"/>
      <c r="F542" s="30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28"/>
      <c r="C543" s="28"/>
      <c r="D543" s="28"/>
      <c r="E543" s="28"/>
      <c r="F543" s="30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28"/>
      <c r="C544" s="28"/>
      <c r="D544" s="28"/>
      <c r="E544" s="28"/>
      <c r="F544" s="30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28"/>
      <c r="C545" s="28"/>
      <c r="D545" s="28"/>
      <c r="E545" s="28"/>
      <c r="F545" s="30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28"/>
      <c r="C546" s="28"/>
      <c r="D546" s="28"/>
      <c r="E546" s="28"/>
      <c r="F546" s="30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28"/>
      <c r="C547" s="28"/>
      <c r="D547" s="28"/>
      <c r="E547" s="28"/>
      <c r="F547" s="30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28"/>
      <c r="C548" s="28"/>
      <c r="D548" s="28"/>
      <c r="E548" s="28"/>
      <c r="F548" s="30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28"/>
      <c r="C549" s="28"/>
      <c r="D549" s="28"/>
      <c r="E549" s="28"/>
      <c r="F549" s="30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28"/>
      <c r="C550" s="28"/>
      <c r="D550" s="28"/>
      <c r="E550" s="28"/>
      <c r="F550" s="30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28"/>
      <c r="C551" s="28"/>
      <c r="D551" s="28"/>
      <c r="E551" s="28"/>
      <c r="F551" s="30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28"/>
      <c r="C552" s="28"/>
      <c r="D552" s="28"/>
      <c r="E552" s="28"/>
      <c r="F552" s="30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28"/>
      <c r="C553" s="28"/>
      <c r="D553" s="28"/>
      <c r="E553" s="28"/>
      <c r="F553" s="30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28"/>
      <c r="C554" s="28"/>
      <c r="D554" s="28"/>
      <c r="E554" s="28"/>
      <c r="F554" s="30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28"/>
      <c r="C555" s="28"/>
      <c r="D555" s="28"/>
      <c r="E555" s="28"/>
      <c r="F555" s="30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28"/>
      <c r="C556" s="28"/>
      <c r="D556" s="28"/>
      <c r="E556" s="28"/>
      <c r="F556" s="30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28"/>
      <c r="C557" s="28"/>
      <c r="D557" s="28"/>
      <c r="E557" s="28"/>
      <c r="F557" s="30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28"/>
      <c r="C558" s="28"/>
      <c r="D558" s="28"/>
      <c r="E558" s="28"/>
      <c r="F558" s="30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28"/>
      <c r="C559" s="28"/>
      <c r="D559" s="28"/>
      <c r="E559" s="28"/>
      <c r="F559" s="30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28"/>
      <c r="C560" s="28"/>
      <c r="D560" s="28"/>
      <c r="E560" s="28"/>
      <c r="F560" s="30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28"/>
      <c r="C561" s="28"/>
      <c r="D561" s="28"/>
      <c r="E561" s="28"/>
      <c r="F561" s="30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28"/>
      <c r="C562" s="28"/>
      <c r="D562" s="28"/>
      <c r="E562" s="28"/>
      <c r="F562" s="30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28"/>
      <c r="C563" s="28"/>
      <c r="D563" s="28"/>
      <c r="E563" s="28"/>
      <c r="F563" s="30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28"/>
      <c r="C564" s="28"/>
      <c r="D564" s="28"/>
      <c r="E564" s="28"/>
      <c r="F564" s="30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28"/>
      <c r="C565" s="28"/>
      <c r="D565" s="28"/>
      <c r="E565" s="28"/>
      <c r="F565" s="30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28"/>
      <c r="C566" s="28"/>
      <c r="D566" s="28"/>
      <c r="E566" s="28"/>
      <c r="F566" s="30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28"/>
      <c r="C567" s="28"/>
      <c r="D567" s="28"/>
      <c r="E567" s="28"/>
      <c r="F567" s="30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28"/>
      <c r="C568" s="28"/>
      <c r="D568" s="28"/>
      <c r="E568" s="28"/>
      <c r="F568" s="30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28"/>
      <c r="C569" s="28"/>
      <c r="D569" s="28"/>
      <c r="E569" s="28"/>
      <c r="F569" s="30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28"/>
      <c r="C570" s="28"/>
      <c r="D570" s="28"/>
      <c r="E570" s="28"/>
      <c r="F570" s="30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28"/>
      <c r="C571" s="28"/>
      <c r="D571" s="28"/>
      <c r="E571" s="28"/>
      <c r="F571" s="30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28"/>
      <c r="C572" s="28"/>
      <c r="D572" s="28"/>
      <c r="E572" s="28"/>
      <c r="F572" s="30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28"/>
      <c r="C573" s="28"/>
      <c r="D573" s="28"/>
      <c r="E573" s="28"/>
      <c r="F573" s="30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28"/>
      <c r="C574" s="28"/>
      <c r="D574" s="28"/>
      <c r="E574" s="28"/>
      <c r="F574" s="30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28"/>
      <c r="C575" s="28"/>
      <c r="D575" s="28"/>
      <c r="E575" s="28"/>
      <c r="F575" s="30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28"/>
      <c r="C576" s="28"/>
      <c r="D576" s="28"/>
      <c r="E576" s="28"/>
      <c r="F576" s="30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28"/>
      <c r="C577" s="28"/>
      <c r="D577" s="28"/>
      <c r="E577" s="28"/>
      <c r="F577" s="30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28"/>
      <c r="C578" s="28"/>
      <c r="D578" s="28"/>
      <c r="E578" s="28"/>
      <c r="F578" s="30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28"/>
      <c r="C579" s="28"/>
      <c r="D579" s="28"/>
      <c r="E579" s="28"/>
      <c r="F579" s="30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28"/>
      <c r="C580" s="28"/>
      <c r="D580" s="28"/>
      <c r="E580" s="28"/>
      <c r="F580" s="30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28"/>
      <c r="C581" s="28"/>
      <c r="D581" s="28"/>
      <c r="E581" s="28"/>
      <c r="F581" s="30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28"/>
      <c r="C582" s="28"/>
      <c r="D582" s="28"/>
      <c r="E582" s="28"/>
      <c r="F582" s="30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28"/>
      <c r="C583" s="28"/>
      <c r="D583" s="28"/>
      <c r="E583" s="28"/>
      <c r="F583" s="30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28"/>
      <c r="C584" s="28"/>
      <c r="D584" s="28"/>
      <c r="E584" s="28"/>
      <c r="F584" s="30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28"/>
      <c r="C585" s="28"/>
      <c r="D585" s="28"/>
      <c r="E585" s="28"/>
      <c r="F585" s="30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28"/>
      <c r="C586" s="28"/>
      <c r="D586" s="28"/>
      <c r="E586" s="28"/>
      <c r="F586" s="30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28"/>
      <c r="C587" s="28"/>
      <c r="D587" s="28"/>
      <c r="E587" s="28"/>
      <c r="F587" s="30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28"/>
      <c r="C588" s="28"/>
      <c r="D588" s="28"/>
      <c r="E588" s="28"/>
      <c r="F588" s="30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28"/>
      <c r="C589" s="28"/>
      <c r="D589" s="28"/>
      <c r="E589" s="28"/>
      <c r="F589" s="30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28"/>
      <c r="C590" s="28"/>
      <c r="D590" s="28"/>
      <c r="E590" s="28"/>
      <c r="F590" s="30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28"/>
      <c r="C591" s="28"/>
      <c r="D591" s="28"/>
      <c r="E591" s="28"/>
      <c r="F591" s="30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28"/>
      <c r="C592" s="28"/>
      <c r="D592" s="28"/>
      <c r="E592" s="28"/>
      <c r="F592" s="30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28"/>
      <c r="C593" s="28"/>
      <c r="D593" s="28"/>
      <c r="E593" s="28"/>
      <c r="F593" s="30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28"/>
      <c r="C594" s="28"/>
      <c r="D594" s="28"/>
      <c r="E594" s="28"/>
      <c r="F594" s="30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28"/>
      <c r="C595" s="28"/>
      <c r="D595" s="28"/>
      <c r="E595" s="28"/>
      <c r="F595" s="30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28"/>
      <c r="C596" s="28"/>
      <c r="D596" s="28"/>
      <c r="E596" s="28"/>
      <c r="F596" s="30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28"/>
      <c r="C597" s="28"/>
      <c r="D597" s="28"/>
      <c r="E597" s="28"/>
      <c r="F597" s="30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28"/>
      <c r="C598" s="28"/>
      <c r="D598" s="28"/>
      <c r="E598" s="28"/>
      <c r="F598" s="30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28"/>
      <c r="C599" s="28"/>
      <c r="D599" s="28"/>
      <c r="E599" s="28"/>
      <c r="F599" s="30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28"/>
      <c r="C600" s="28"/>
      <c r="D600" s="28"/>
      <c r="E600" s="28"/>
      <c r="F600" s="30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28"/>
      <c r="C601" s="28"/>
      <c r="D601" s="28"/>
      <c r="E601" s="28"/>
      <c r="F601" s="30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28"/>
      <c r="C602" s="28"/>
      <c r="D602" s="28"/>
      <c r="E602" s="28"/>
      <c r="F602" s="30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28"/>
      <c r="C603" s="28"/>
      <c r="D603" s="28"/>
      <c r="E603" s="28"/>
      <c r="F603" s="30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28"/>
      <c r="C604" s="28"/>
      <c r="D604" s="28"/>
      <c r="E604" s="28"/>
      <c r="F604" s="30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28"/>
      <c r="C605" s="28"/>
      <c r="D605" s="28"/>
      <c r="E605" s="28"/>
      <c r="F605" s="30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28"/>
      <c r="C606" s="28"/>
      <c r="D606" s="28"/>
      <c r="E606" s="28"/>
      <c r="F606" s="30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28"/>
      <c r="C607" s="28"/>
      <c r="D607" s="28"/>
      <c r="E607" s="28"/>
      <c r="F607" s="30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28"/>
      <c r="C608" s="28"/>
      <c r="D608" s="28"/>
      <c r="E608" s="28"/>
      <c r="F608" s="30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28"/>
      <c r="C609" s="28"/>
      <c r="D609" s="28"/>
      <c r="E609" s="28"/>
      <c r="F609" s="30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28"/>
      <c r="C610" s="28"/>
      <c r="D610" s="28"/>
      <c r="E610" s="28"/>
      <c r="F610" s="30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28"/>
      <c r="C611" s="28"/>
      <c r="D611" s="28"/>
      <c r="E611" s="28"/>
      <c r="F611" s="30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28"/>
      <c r="C612" s="28"/>
      <c r="D612" s="28"/>
      <c r="E612" s="28"/>
      <c r="F612" s="30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28"/>
      <c r="C613" s="28"/>
      <c r="D613" s="28"/>
      <c r="E613" s="28"/>
      <c r="F613" s="30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28"/>
      <c r="C614" s="28"/>
      <c r="D614" s="28"/>
      <c r="E614" s="28"/>
      <c r="F614" s="30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28"/>
      <c r="C615" s="28"/>
      <c r="D615" s="28"/>
      <c r="E615" s="28"/>
      <c r="F615" s="30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28"/>
      <c r="C616" s="28"/>
      <c r="D616" s="28"/>
      <c r="E616" s="28"/>
      <c r="F616" s="30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28"/>
      <c r="C617" s="28"/>
      <c r="D617" s="28"/>
      <c r="E617" s="28"/>
      <c r="F617" s="30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28"/>
      <c r="C618" s="28"/>
      <c r="D618" s="28"/>
      <c r="E618" s="28"/>
      <c r="F618" s="30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28"/>
      <c r="C619" s="28"/>
      <c r="D619" s="28"/>
      <c r="E619" s="28"/>
      <c r="F619" s="30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28"/>
      <c r="C620" s="28"/>
      <c r="D620" s="28"/>
      <c r="E620" s="28"/>
      <c r="F620" s="30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28"/>
      <c r="C621" s="28"/>
      <c r="D621" s="28"/>
      <c r="E621" s="28"/>
      <c r="F621" s="30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28"/>
      <c r="C622" s="28"/>
      <c r="D622" s="28"/>
      <c r="E622" s="28"/>
      <c r="F622" s="30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28"/>
      <c r="C623" s="28"/>
      <c r="D623" s="28"/>
      <c r="E623" s="28"/>
      <c r="F623" s="30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28"/>
      <c r="C624" s="28"/>
      <c r="D624" s="28"/>
      <c r="E624" s="28"/>
      <c r="F624" s="30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28"/>
      <c r="C625" s="28"/>
      <c r="D625" s="28"/>
      <c r="E625" s="28"/>
      <c r="F625" s="30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28"/>
      <c r="C626" s="28"/>
      <c r="D626" s="28"/>
      <c r="E626" s="28"/>
      <c r="F626" s="30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28"/>
      <c r="C627" s="28"/>
      <c r="D627" s="28"/>
      <c r="E627" s="28"/>
      <c r="F627" s="30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28"/>
      <c r="C628" s="28"/>
      <c r="D628" s="28"/>
      <c r="E628" s="28"/>
      <c r="F628" s="30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28"/>
      <c r="C629" s="28"/>
      <c r="D629" s="28"/>
      <c r="E629" s="28"/>
      <c r="F629" s="30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28"/>
      <c r="C630" s="28"/>
      <c r="D630" s="28"/>
      <c r="E630" s="28"/>
      <c r="F630" s="30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28"/>
      <c r="C631" s="28"/>
      <c r="D631" s="28"/>
      <c r="E631" s="28"/>
      <c r="F631" s="30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28"/>
      <c r="C632" s="28"/>
      <c r="D632" s="28"/>
      <c r="E632" s="28"/>
      <c r="F632" s="30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28"/>
      <c r="C633" s="28"/>
      <c r="D633" s="28"/>
      <c r="E633" s="28"/>
      <c r="F633" s="30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28"/>
      <c r="C634" s="28"/>
      <c r="D634" s="28"/>
      <c r="E634" s="28"/>
      <c r="F634" s="30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28"/>
      <c r="C635" s="28"/>
      <c r="D635" s="28"/>
      <c r="E635" s="28"/>
      <c r="F635" s="30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28"/>
      <c r="C636" s="28"/>
      <c r="D636" s="28"/>
      <c r="E636" s="28"/>
      <c r="F636" s="30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28"/>
      <c r="C637" s="28"/>
      <c r="D637" s="28"/>
      <c r="E637" s="28"/>
      <c r="F637" s="30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28"/>
      <c r="C638" s="28"/>
      <c r="D638" s="28"/>
      <c r="E638" s="28"/>
      <c r="F638" s="30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28"/>
      <c r="C639" s="28"/>
      <c r="D639" s="28"/>
      <c r="E639" s="28"/>
      <c r="F639" s="30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28"/>
      <c r="C640" s="28"/>
      <c r="D640" s="28"/>
      <c r="E640" s="28"/>
      <c r="F640" s="30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28"/>
      <c r="C641" s="28"/>
      <c r="D641" s="28"/>
      <c r="E641" s="28"/>
      <c r="F641" s="30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28"/>
      <c r="C642" s="28"/>
      <c r="D642" s="28"/>
      <c r="E642" s="28"/>
      <c r="F642" s="30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28"/>
      <c r="C643" s="28"/>
      <c r="D643" s="28"/>
      <c r="E643" s="28"/>
      <c r="F643" s="30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28"/>
      <c r="C644" s="28"/>
      <c r="D644" s="28"/>
      <c r="E644" s="28"/>
      <c r="F644" s="30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28"/>
      <c r="C645" s="28"/>
      <c r="D645" s="28"/>
      <c r="E645" s="28"/>
      <c r="F645" s="30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28"/>
      <c r="C646" s="28"/>
      <c r="D646" s="28"/>
      <c r="E646" s="28"/>
      <c r="F646" s="30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28"/>
      <c r="C647" s="28"/>
      <c r="D647" s="28"/>
      <c r="E647" s="28"/>
      <c r="F647" s="30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28"/>
      <c r="C648" s="28"/>
      <c r="D648" s="28"/>
      <c r="E648" s="28"/>
      <c r="F648" s="30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28"/>
      <c r="C649" s="28"/>
      <c r="D649" s="28"/>
      <c r="E649" s="28"/>
      <c r="F649" s="30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28"/>
      <c r="C650" s="28"/>
      <c r="D650" s="28"/>
      <c r="E650" s="28"/>
      <c r="F650" s="30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28"/>
      <c r="C651" s="28"/>
      <c r="D651" s="28"/>
      <c r="E651" s="28"/>
      <c r="F651" s="30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28"/>
      <c r="C652" s="28"/>
      <c r="D652" s="28"/>
      <c r="E652" s="28"/>
      <c r="F652" s="30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28"/>
      <c r="C653" s="28"/>
      <c r="D653" s="28"/>
      <c r="E653" s="28"/>
      <c r="F653" s="30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28"/>
      <c r="C654" s="28"/>
      <c r="D654" s="28"/>
      <c r="E654" s="28"/>
      <c r="F654" s="30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28"/>
      <c r="C655" s="28"/>
      <c r="D655" s="28"/>
      <c r="E655" s="28"/>
      <c r="F655" s="30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28"/>
      <c r="C656" s="28"/>
      <c r="D656" s="28"/>
      <c r="E656" s="28"/>
      <c r="F656" s="30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28"/>
      <c r="C657" s="28"/>
      <c r="D657" s="28"/>
      <c r="E657" s="28"/>
      <c r="F657" s="30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28"/>
      <c r="C658" s="28"/>
      <c r="D658" s="28"/>
      <c r="E658" s="28"/>
      <c r="F658" s="30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28"/>
      <c r="C659" s="28"/>
      <c r="D659" s="28"/>
      <c r="E659" s="28"/>
      <c r="F659" s="30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28"/>
      <c r="C660" s="28"/>
      <c r="D660" s="28"/>
      <c r="E660" s="28"/>
      <c r="F660" s="30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28"/>
      <c r="C661" s="28"/>
      <c r="D661" s="28"/>
      <c r="E661" s="28"/>
      <c r="F661" s="30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28"/>
      <c r="C662" s="28"/>
      <c r="D662" s="28"/>
      <c r="E662" s="28"/>
      <c r="F662" s="30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28"/>
      <c r="C663" s="28"/>
      <c r="D663" s="28"/>
      <c r="E663" s="28"/>
      <c r="F663" s="30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28"/>
      <c r="C664" s="28"/>
      <c r="D664" s="28"/>
      <c r="E664" s="28"/>
      <c r="F664" s="30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28"/>
      <c r="C665" s="28"/>
      <c r="D665" s="28"/>
      <c r="E665" s="28"/>
      <c r="F665" s="30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28"/>
      <c r="C666" s="28"/>
      <c r="D666" s="28"/>
      <c r="E666" s="28"/>
      <c r="F666" s="30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28"/>
      <c r="C667" s="28"/>
      <c r="D667" s="28"/>
      <c r="E667" s="28"/>
      <c r="F667" s="30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28"/>
      <c r="C668" s="28"/>
      <c r="D668" s="28"/>
      <c r="E668" s="28"/>
      <c r="F668" s="30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28"/>
      <c r="C669" s="28"/>
      <c r="D669" s="28"/>
      <c r="E669" s="28"/>
      <c r="F669" s="30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28"/>
      <c r="C670" s="28"/>
      <c r="D670" s="28"/>
      <c r="E670" s="28"/>
      <c r="F670" s="30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28"/>
      <c r="C671" s="28"/>
      <c r="D671" s="28"/>
      <c r="E671" s="28"/>
      <c r="F671" s="30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28"/>
      <c r="C672" s="28"/>
      <c r="D672" s="28"/>
      <c r="E672" s="28"/>
      <c r="F672" s="30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28"/>
      <c r="C673" s="28"/>
      <c r="D673" s="28"/>
      <c r="E673" s="28"/>
      <c r="F673" s="30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28"/>
      <c r="C674" s="28"/>
      <c r="D674" s="28"/>
      <c r="E674" s="28"/>
      <c r="F674" s="30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28"/>
      <c r="C675" s="28"/>
      <c r="D675" s="28"/>
      <c r="E675" s="28"/>
      <c r="F675" s="30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28"/>
      <c r="C676" s="28"/>
      <c r="D676" s="28"/>
      <c r="E676" s="28"/>
      <c r="F676" s="30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28"/>
      <c r="C677" s="28"/>
      <c r="D677" s="28"/>
      <c r="E677" s="28"/>
      <c r="F677" s="30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28"/>
      <c r="C678" s="28"/>
      <c r="D678" s="28"/>
      <c r="E678" s="28"/>
      <c r="F678" s="30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28"/>
      <c r="C679" s="28"/>
      <c r="D679" s="28"/>
      <c r="E679" s="28"/>
      <c r="F679" s="30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28"/>
      <c r="C680" s="28"/>
      <c r="D680" s="28"/>
      <c r="E680" s="28"/>
      <c r="F680" s="30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28"/>
      <c r="C681" s="28"/>
      <c r="D681" s="28"/>
      <c r="E681" s="28"/>
      <c r="F681" s="30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28"/>
      <c r="C682" s="28"/>
      <c r="D682" s="28"/>
      <c r="E682" s="28"/>
      <c r="F682" s="30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28"/>
      <c r="C683" s="28"/>
      <c r="D683" s="28"/>
      <c r="E683" s="28"/>
      <c r="F683" s="30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28"/>
      <c r="C684" s="28"/>
      <c r="D684" s="28"/>
      <c r="E684" s="28"/>
      <c r="F684" s="30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28"/>
      <c r="C685" s="28"/>
      <c r="D685" s="28"/>
      <c r="E685" s="28"/>
      <c r="F685" s="30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28"/>
      <c r="C686" s="28"/>
      <c r="D686" s="28"/>
      <c r="E686" s="28"/>
      <c r="F686" s="30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28"/>
      <c r="C687" s="28"/>
      <c r="D687" s="28"/>
      <c r="E687" s="28"/>
      <c r="F687" s="30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28"/>
      <c r="C688" s="28"/>
      <c r="D688" s="28"/>
      <c r="E688" s="28"/>
      <c r="F688" s="30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28"/>
      <c r="C689" s="28"/>
      <c r="D689" s="28"/>
      <c r="E689" s="28"/>
      <c r="F689" s="30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28"/>
      <c r="C690" s="28"/>
      <c r="D690" s="28"/>
      <c r="E690" s="28"/>
      <c r="F690" s="30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28"/>
      <c r="C691" s="28"/>
      <c r="D691" s="28"/>
      <c r="E691" s="28"/>
      <c r="F691" s="30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28"/>
      <c r="C692" s="28"/>
      <c r="D692" s="28"/>
      <c r="E692" s="28"/>
      <c r="F692" s="30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28"/>
      <c r="C693" s="28"/>
      <c r="D693" s="28"/>
      <c r="E693" s="28"/>
      <c r="F693" s="30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28"/>
      <c r="C694" s="28"/>
      <c r="D694" s="28"/>
      <c r="E694" s="28"/>
      <c r="F694" s="30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28"/>
      <c r="C695" s="28"/>
      <c r="D695" s="28"/>
      <c r="E695" s="28"/>
      <c r="F695" s="30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28"/>
      <c r="C696" s="28"/>
      <c r="D696" s="28"/>
      <c r="E696" s="28"/>
      <c r="F696" s="30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28"/>
      <c r="C697" s="28"/>
      <c r="D697" s="28"/>
      <c r="E697" s="28"/>
      <c r="F697" s="30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28"/>
      <c r="C698" s="28"/>
      <c r="D698" s="28"/>
      <c r="E698" s="28"/>
      <c r="F698" s="30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28"/>
      <c r="C699" s="28"/>
      <c r="D699" s="28"/>
      <c r="E699" s="28"/>
      <c r="F699" s="30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28"/>
      <c r="C700" s="28"/>
      <c r="D700" s="28"/>
      <c r="E700" s="28"/>
      <c r="F700" s="30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28"/>
      <c r="C701" s="28"/>
      <c r="D701" s="28"/>
      <c r="E701" s="28"/>
      <c r="F701" s="30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28"/>
      <c r="C702" s="28"/>
      <c r="D702" s="28"/>
      <c r="E702" s="28"/>
      <c r="F702" s="30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28"/>
      <c r="C703" s="28"/>
      <c r="D703" s="28"/>
      <c r="E703" s="28"/>
      <c r="F703" s="30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28"/>
      <c r="C704" s="28"/>
      <c r="D704" s="28"/>
      <c r="E704" s="28"/>
      <c r="F704" s="30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28"/>
      <c r="C705" s="28"/>
      <c r="D705" s="28"/>
      <c r="E705" s="28"/>
      <c r="F705" s="30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28"/>
      <c r="C706" s="28"/>
      <c r="D706" s="28"/>
      <c r="E706" s="28"/>
      <c r="F706" s="30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28"/>
      <c r="C707" s="28"/>
      <c r="D707" s="28"/>
      <c r="E707" s="28"/>
      <c r="F707" s="30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28"/>
      <c r="C708" s="28"/>
      <c r="D708" s="28"/>
      <c r="E708" s="28"/>
      <c r="F708" s="30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28"/>
      <c r="C709" s="28"/>
      <c r="D709" s="28"/>
      <c r="E709" s="28"/>
      <c r="F709" s="30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28"/>
      <c r="C710" s="28"/>
      <c r="D710" s="28"/>
      <c r="E710" s="28"/>
      <c r="F710" s="30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28"/>
      <c r="C711" s="28"/>
      <c r="D711" s="28"/>
      <c r="E711" s="28"/>
      <c r="F711" s="30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28"/>
      <c r="C712" s="28"/>
      <c r="D712" s="28"/>
      <c r="E712" s="28"/>
      <c r="F712" s="30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28"/>
      <c r="C713" s="28"/>
      <c r="D713" s="28"/>
      <c r="E713" s="28"/>
      <c r="F713" s="30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28"/>
      <c r="C714" s="28"/>
      <c r="D714" s="28"/>
      <c r="E714" s="28"/>
      <c r="F714" s="30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28"/>
      <c r="C715" s="28"/>
      <c r="D715" s="28"/>
      <c r="E715" s="28"/>
      <c r="F715" s="30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28"/>
      <c r="C716" s="28"/>
      <c r="D716" s="28"/>
      <c r="E716" s="28"/>
      <c r="F716" s="30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28"/>
      <c r="C717" s="28"/>
      <c r="D717" s="28"/>
      <c r="E717" s="28"/>
      <c r="F717" s="30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28"/>
      <c r="C718" s="28"/>
      <c r="D718" s="28"/>
      <c r="E718" s="28"/>
      <c r="F718" s="30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28"/>
      <c r="C719" s="28"/>
      <c r="D719" s="28"/>
      <c r="E719" s="28"/>
      <c r="F719" s="30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28"/>
      <c r="C720" s="28"/>
      <c r="D720" s="28"/>
      <c r="E720" s="28"/>
      <c r="F720" s="30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28"/>
      <c r="C721" s="28"/>
      <c r="D721" s="28"/>
      <c r="E721" s="28"/>
      <c r="F721" s="30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28"/>
      <c r="C722" s="28"/>
      <c r="D722" s="28"/>
      <c r="E722" s="28"/>
      <c r="F722" s="30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28"/>
      <c r="C723" s="28"/>
      <c r="D723" s="28"/>
      <c r="E723" s="28"/>
      <c r="F723" s="30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28"/>
      <c r="C724" s="28"/>
      <c r="D724" s="28"/>
      <c r="E724" s="28"/>
      <c r="F724" s="30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28"/>
      <c r="C725" s="28"/>
      <c r="D725" s="28"/>
      <c r="E725" s="28"/>
      <c r="F725" s="30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28"/>
      <c r="C726" s="28"/>
      <c r="D726" s="28"/>
      <c r="E726" s="28"/>
      <c r="F726" s="30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28"/>
      <c r="C727" s="28"/>
      <c r="D727" s="28"/>
      <c r="E727" s="28"/>
      <c r="F727" s="30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28"/>
      <c r="C728" s="28"/>
      <c r="D728" s="28"/>
      <c r="E728" s="28"/>
      <c r="F728" s="30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28"/>
      <c r="C729" s="28"/>
      <c r="D729" s="28"/>
      <c r="E729" s="28"/>
      <c r="F729" s="30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28"/>
      <c r="C730" s="28"/>
      <c r="D730" s="28"/>
      <c r="E730" s="28"/>
      <c r="F730" s="30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28"/>
      <c r="C731" s="28"/>
      <c r="D731" s="28"/>
      <c r="E731" s="28"/>
      <c r="F731" s="30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28"/>
      <c r="C732" s="28"/>
      <c r="D732" s="28"/>
      <c r="E732" s="28"/>
      <c r="F732" s="30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28"/>
      <c r="C733" s="28"/>
      <c r="D733" s="28"/>
      <c r="E733" s="28"/>
      <c r="F733" s="30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28"/>
      <c r="C734" s="28"/>
      <c r="D734" s="28"/>
      <c r="E734" s="28"/>
      <c r="F734" s="30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28"/>
      <c r="C735" s="28"/>
      <c r="D735" s="28"/>
      <c r="E735" s="28"/>
      <c r="F735" s="30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28"/>
      <c r="C736" s="28"/>
      <c r="D736" s="28"/>
      <c r="E736" s="28"/>
      <c r="F736" s="30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28"/>
      <c r="C737" s="28"/>
      <c r="D737" s="28"/>
      <c r="E737" s="28"/>
      <c r="F737" s="30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28"/>
      <c r="C738" s="28"/>
      <c r="D738" s="28"/>
      <c r="E738" s="28"/>
      <c r="F738" s="30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28"/>
      <c r="C739" s="28"/>
      <c r="D739" s="28"/>
      <c r="E739" s="28"/>
      <c r="F739" s="30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28"/>
      <c r="C740" s="28"/>
      <c r="D740" s="28"/>
      <c r="E740" s="28"/>
      <c r="F740" s="30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28"/>
      <c r="C741" s="28"/>
      <c r="D741" s="28"/>
      <c r="E741" s="28"/>
      <c r="F741" s="30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28"/>
      <c r="C742" s="28"/>
      <c r="D742" s="28"/>
      <c r="E742" s="28"/>
      <c r="F742" s="30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28"/>
      <c r="C743" s="28"/>
      <c r="D743" s="28"/>
      <c r="E743" s="28"/>
      <c r="F743" s="30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28"/>
      <c r="C744" s="28"/>
      <c r="D744" s="28"/>
      <c r="E744" s="28"/>
      <c r="F744" s="30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28"/>
      <c r="C745" s="28"/>
      <c r="D745" s="28"/>
      <c r="E745" s="28"/>
      <c r="F745" s="30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28"/>
      <c r="C746" s="28"/>
      <c r="D746" s="28"/>
      <c r="E746" s="28"/>
      <c r="F746" s="30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28"/>
      <c r="C747" s="28"/>
      <c r="D747" s="28"/>
      <c r="E747" s="28"/>
      <c r="F747" s="30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28"/>
      <c r="C748" s="28"/>
      <c r="D748" s="28"/>
      <c r="E748" s="28"/>
      <c r="F748" s="30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28"/>
      <c r="C749" s="28"/>
      <c r="D749" s="28"/>
      <c r="E749" s="28"/>
      <c r="F749" s="30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28"/>
      <c r="C750" s="28"/>
      <c r="D750" s="28"/>
      <c r="E750" s="28"/>
      <c r="F750" s="30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28"/>
      <c r="C751" s="28"/>
      <c r="D751" s="28"/>
      <c r="E751" s="28"/>
      <c r="F751" s="30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28"/>
      <c r="C752" s="28"/>
      <c r="D752" s="28"/>
      <c r="E752" s="28"/>
      <c r="F752" s="30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28"/>
      <c r="C753" s="28"/>
      <c r="D753" s="28"/>
      <c r="E753" s="28"/>
      <c r="F753" s="30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28"/>
      <c r="C754" s="28"/>
      <c r="D754" s="28"/>
      <c r="E754" s="28"/>
      <c r="F754" s="30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28"/>
      <c r="C755" s="28"/>
      <c r="D755" s="28"/>
      <c r="E755" s="28"/>
      <c r="F755" s="30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28"/>
      <c r="C756" s="28"/>
      <c r="D756" s="28"/>
      <c r="E756" s="28"/>
      <c r="F756" s="30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28"/>
      <c r="C757" s="28"/>
      <c r="D757" s="28"/>
      <c r="E757" s="28"/>
      <c r="F757" s="30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28"/>
      <c r="C758" s="28"/>
      <c r="D758" s="28"/>
      <c r="E758" s="28"/>
      <c r="F758" s="30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28"/>
      <c r="C759" s="28"/>
      <c r="D759" s="28"/>
      <c r="E759" s="28"/>
      <c r="F759" s="30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28"/>
      <c r="C760" s="28"/>
      <c r="D760" s="28"/>
      <c r="E760" s="28"/>
      <c r="F760" s="30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28"/>
      <c r="C761" s="28"/>
      <c r="D761" s="28"/>
      <c r="E761" s="28"/>
      <c r="F761" s="30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28"/>
      <c r="C762" s="28"/>
      <c r="D762" s="28"/>
      <c r="E762" s="28"/>
      <c r="F762" s="30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28"/>
      <c r="C763" s="28"/>
      <c r="D763" s="28"/>
      <c r="E763" s="28"/>
      <c r="F763" s="30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28"/>
      <c r="C764" s="28"/>
      <c r="D764" s="28"/>
      <c r="E764" s="28"/>
      <c r="F764" s="30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28"/>
      <c r="C765" s="28"/>
      <c r="D765" s="28"/>
      <c r="E765" s="28"/>
      <c r="F765" s="30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28"/>
      <c r="C766" s="28"/>
      <c r="D766" s="28"/>
      <c r="E766" s="28"/>
      <c r="F766" s="30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28"/>
      <c r="C767" s="28"/>
      <c r="D767" s="28"/>
      <c r="E767" s="28"/>
      <c r="F767" s="30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28"/>
      <c r="C768" s="28"/>
      <c r="D768" s="28"/>
      <c r="E768" s="28"/>
      <c r="F768" s="30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28"/>
      <c r="C769" s="28"/>
      <c r="D769" s="28"/>
      <c r="E769" s="28"/>
      <c r="F769" s="30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28"/>
      <c r="C770" s="28"/>
      <c r="D770" s="28"/>
      <c r="E770" s="28"/>
      <c r="F770" s="30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28"/>
      <c r="C771" s="28"/>
      <c r="D771" s="28"/>
      <c r="E771" s="28"/>
      <c r="F771" s="30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28"/>
      <c r="C772" s="28"/>
      <c r="D772" s="28"/>
      <c r="E772" s="28"/>
      <c r="F772" s="30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28"/>
      <c r="C773" s="28"/>
      <c r="D773" s="28"/>
      <c r="E773" s="28"/>
      <c r="F773" s="30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28"/>
      <c r="C774" s="28"/>
      <c r="D774" s="28"/>
      <c r="E774" s="28"/>
      <c r="F774" s="30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28"/>
      <c r="C775" s="28"/>
      <c r="D775" s="28"/>
      <c r="E775" s="28"/>
      <c r="F775" s="30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28"/>
      <c r="C776" s="28"/>
      <c r="D776" s="28"/>
      <c r="E776" s="28"/>
      <c r="F776" s="30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28"/>
      <c r="C777" s="28"/>
      <c r="D777" s="28"/>
      <c r="E777" s="28"/>
      <c r="F777" s="30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28"/>
      <c r="C778" s="28"/>
      <c r="D778" s="28"/>
      <c r="E778" s="28"/>
      <c r="F778" s="30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28"/>
      <c r="C779" s="28"/>
      <c r="D779" s="28"/>
      <c r="E779" s="28"/>
      <c r="F779" s="30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28"/>
      <c r="C780" s="28"/>
      <c r="D780" s="28"/>
      <c r="E780" s="28"/>
      <c r="F780" s="30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28"/>
      <c r="C781" s="28"/>
      <c r="D781" s="28"/>
      <c r="E781" s="28"/>
      <c r="F781" s="30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28"/>
      <c r="C782" s="28"/>
      <c r="D782" s="28"/>
      <c r="E782" s="28"/>
      <c r="F782" s="30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28"/>
      <c r="C783" s="28"/>
      <c r="D783" s="28"/>
      <c r="E783" s="28"/>
      <c r="F783" s="30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28"/>
      <c r="C784" s="28"/>
      <c r="D784" s="28"/>
      <c r="E784" s="28"/>
      <c r="F784" s="30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28"/>
      <c r="C785" s="28"/>
      <c r="D785" s="28"/>
      <c r="E785" s="28"/>
      <c r="F785" s="30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28"/>
      <c r="C786" s="28"/>
      <c r="D786" s="28"/>
      <c r="E786" s="28"/>
      <c r="F786" s="30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28"/>
      <c r="C787" s="28"/>
      <c r="D787" s="28"/>
      <c r="E787" s="28"/>
      <c r="F787" s="30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28"/>
      <c r="C788" s="28"/>
      <c r="D788" s="28"/>
      <c r="E788" s="28"/>
      <c r="F788" s="30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28"/>
      <c r="C789" s="28"/>
      <c r="D789" s="28"/>
      <c r="E789" s="28"/>
      <c r="F789" s="30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28"/>
      <c r="C790" s="28"/>
      <c r="D790" s="28"/>
      <c r="E790" s="28"/>
      <c r="F790" s="30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28"/>
      <c r="C791" s="28"/>
      <c r="D791" s="28"/>
      <c r="E791" s="28"/>
      <c r="F791" s="30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28"/>
      <c r="C792" s="28"/>
      <c r="D792" s="28"/>
      <c r="E792" s="28"/>
      <c r="F792" s="30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28"/>
      <c r="C793" s="28"/>
      <c r="D793" s="28"/>
      <c r="E793" s="28"/>
      <c r="F793" s="30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28"/>
      <c r="C794" s="28"/>
      <c r="D794" s="28"/>
      <c r="E794" s="28"/>
      <c r="F794" s="30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28"/>
      <c r="C795" s="28"/>
      <c r="D795" s="28"/>
      <c r="E795" s="28"/>
      <c r="F795" s="30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28"/>
      <c r="C796" s="28"/>
      <c r="D796" s="28"/>
      <c r="E796" s="28"/>
      <c r="F796" s="30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28"/>
      <c r="C797" s="28"/>
      <c r="D797" s="28"/>
      <c r="E797" s="28"/>
      <c r="F797" s="30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28"/>
      <c r="C798" s="28"/>
      <c r="D798" s="28"/>
      <c r="E798" s="28"/>
      <c r="F798" s="30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28"/>
      <c r="C799" s="28"/>
      <c r="D799" s="28"/>
      <c r="E799" s="28"/>
      <c r="F799" s="30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28"/>
      <c r="C800" s="28"/>
      <c r="D800" s="28"/>
      <c r="E800" s="28"/>
      <c r="F800" s="30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28"/>
      <c r="C801" s="28"/>
      <c r="D801" s="28"/>
      <c r="E801" s="28"/>
      <c r="F801" s="30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28"/>
      <c r="C802" s="28"/>
      <c r="D802" s="28"/>
      <c r="E802" s="28"/>
      <c r="F802" s="30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28"/>
      <c r="C803" s="28"/>
      <c r="D803" s="28"/>
      <c r="E803" s="28"/>
      <c r="F803" s="30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28"/>
      <c r="C804" s="28"/>
      <c r="D804" s="28"/>
      <c r="E804" s="28"/>
      <c r="F804" s="30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28"/>
      <c r="C805" s="28"/>
      <c r="D805" s="28"/>
      <c r="E805" s="28"/>
      <c r="F805" s="30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28"/>
      <c r="C806" s="28"/>
      <c r="D806" s="28"/>
      <c r="E806" s="28"/>
      <c r="F806" s="30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28"/>
      <c r="C807" s="28"/>
      <c r="D807" s="28"/>
      <c r="E807" s="28"/>
      <c r="F807" s="30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28"/>
      <c r="C808" s="28"/>
      <c r="D808" s="28"/>
      <c r="E808" s="28"/>
      <c r="F808" s="30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28"/>
      <c r="C809" s="28"/>
      <c r="D809" s="28"/>
      <c r="E809" s="28"/>
      <c r="F809" s="30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28"/>
      <c r="C810" s="28"/>
      <c r="D810" s="28"/>
      <c r="E810" s="28"/>
      <c r="F810" s="30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28"/>
      <c r="C811" s="28"/>
      <c r="D811" s="28"/>
      <c r="E811" s="28"/>
      <c r="F811" s="30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28"/>
      <c r="C812" s="28"/>
      <c r="D812" s="28"/>
      <c r="E812" s="28"/>
      <c r="F812" s="30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28"/>
      <c r="C813" s="28"/>
      <c r="D813" s="28"/>
      <c r="E813" s="28"/>
      <c r="F813" s="30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28"/>
      <c r="C814" s="28"/>
      <c r="D814" s="28"/>
      <c r="E814" s="28"/>
      <c r="F814" s="30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28"/>
      <c r="C815" s="28"/>
      <c r="D815" s="28"/>
      <c r="E815" s="28"/>
      <c r="F815" s="30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28"/>
      <c r="C816" s="28"/>
      <c r="D816" s="28"/>
      <c r="E816" s="28"/>
      <c r="F816" s="30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28"/>
      <c r="C817" s="28"/>
      <c r="D817" s="28"/>
      <c r="E817" s="28"/>
      <c r="F817" s="30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28"/>
      <c r="C818" s="28"/>
      <c r="D818" s="28"/>
      <c r="E818" s="28"/>
      <c r="F818" s="30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28"/>
      <c r="C819" s="28"/>
      <c r="D819" s="28"/>
      <c r="E819" s="28"/>
      <c r="F819" s="30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28"/>
      <c r="C820" s="28"/>
      <c r="D820" s="28"/>
      <c r="E820" s="28"/>
      <c r="F820" s="30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28"/>
      <c r="C821" s="28"/>
      <c r="D821" s="28"/>
      <c r="E821" s="28"/>
      <c r="F821" s="30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28"/>
      <c r="C822" s="28"/>
      <c r="D822" s="28"/>
      <c r="E822" s="28"/>
      <c r="F822" s="30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28"/>
      <c r="C823" s="28"/>
      <c r="D823" s="28"/>
      <c r="E823" s="28"/>
      <c r="F823" s="30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28"/>
      <c r="C824" s="28"/>
      <c r="D824" s="28"/>
      <c r="E824" s="28"/>
      <c r="F824" s="30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28"/>
      <c r="C825" s="28"/>
      <c r="D825" s="28"/>
      <c r="E825" s="28"/>
      <c r="F825" s="30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28"/>
      <c r="C826" s="28"/>
      <c r="D826" s="28"/>
      <c r="E826" s="28"/>
      <c r="F826" s="30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28"/>
      <c r="C827" s="28"/>
      <c r="D827" s="28"/>
      <c r="E827" s="28"/>
      <c r="F827" s="30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28"/>
      <c r="C828" s="28"/>
      <c r="D828" s="28"/>
      <c r="E828" s="28"/>
      <c r="F828" s="30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28"/>
      <c r="C829" s="28"/>
      <c r="D829" s="28"/>
      <c r="E829" s="28"/>
      <c r="F829" s="30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28"/>
      <c r="C830" s="28"/>
      <c r="D830" s="28"/>
      <c r="E830" s="28"/>
      <c r="F830" s="30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28"/>
      <c r="C831" s="28"/>
      <c r="D831" s="28"/>
      <c r="E831" s="28"/>
      <c r="F831" s="30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28"/>
      <c r="C832" s="28"/>
      <c r="D832" s="28"/>
      <c r="E832" s="28"/>
      <c r="F832" s="30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28"/>
      <c r="C833" s="28"/>
      <c r="D833" s="28"/>
      <c r="E833" s="28"/>
      <c r="F833" s="30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28"/>
      <c r="C834" s="28"/>
      <c r="D834" s="28"/>
      <c r="E834" s="28"/>
      <c r="F834" s="30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28"/>
      <c r="C835" s="28"/>
      <c r="D835" s="28"/>
      <c r="E835" s="28"/>
      <c r="F835" s="30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28"/>
      <c r="C836" s="28"/>
      <c r="D836" s="28"/>
      <c r="E836" s="28"/>
      <c r="F836" s="30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28"/>
      <c r="C837" s="28"/>
      <c r="D837" s="28"/>
      <c r="E837" s="28"/>
      <c r="F837" s="30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28"/>
      <c r="C838" s="28"/>
      <c r="D838" s="28"/>
      <c r="E838" s="28"/>
      <c r="F838" s="30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28"/>
      <c r="C839" s="28"/>
      <c r="D839" s="28"/>
      <c r="E839" s="28"/>
      <c r="F839" s="30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28"/>
      <c r="C840" s="28"/>
      <c r="D840" s="28"/>
      <c r="E840" s="28"/>
      <c r="F840" s="30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28"/>
      <c r="C841" s="28"/>
      <c r="D841" s="28"/>
      <c r="E841" s="28"/>
      <c r="F841" s="30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28"/>
      <c r="C842" s="28"/>
      <c r="D842" s="28"/>
      <c r="E842" s="28"/>
      <c r="F842" s="30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28"/>
      <c r="C843" s="28"/>
      <c r="D843" s="28"/>
      <c r="E843" s="28"/>
      <c r="F843" s="30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28"/>
      <c r="C844" s="28"/>
      <c r="D844" s="28"/>
      <c r="E844" s="28"/>
      <c r="F844" s="30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28"/>
      <c r="C845" s="28"/>
      <c r="D845" s="28"/>
      <c r="E845" s="28"/>
      <c r="F845" s="30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28"/>
      <c r="C846" s="28"/>
      <c r="D846" s="28"/>
      <c r="E846" s="28"/>
      <c r="F846" s="30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28"/>
      <c r="C847" s="28"/>
      <c r="D847" s="28"/>
      <c r="E847" s="28"/>
      <c r="F847" s="30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28"/>
      <c r="C848" s="28"/>
      <c r="D848" s="28"/>
      <c r="E848" s="28"/>
      <c r="F848" s="30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28"/>
      <c r="C849" s="28"/>
      <c r="D849" s="28"/>
      <c r="E849" s="28"/>
      <c r="F849" s="30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28"/>
      <c r="C850" s="28"/>
      <c r="D850" s="28"/>
      <c r="E850" s="28"/>
      <c r="F850" s="30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28"/>
      <c r="C851" s="28"/>
      <c r="D851" s="28"/>
      <c r="E851" s="28"/>
      <c r="F851" s="30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28"/>
      <c r="C852" s="28"/>
      <c r="D852" s="28"/>
      <c r="E852" s="28"/>
      <c r="F852" s="30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28"/>
      <c r="C853" s="28"/>
      <c r="D853" s="28"/>
      <c r="E853" s="28"/>
      <c r="F853" s="30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28"/>
      <c r="C854" s="28"/>
      <c r="D854" s="28"/>
      <c r="E854" s="28"/>
      <c r="F854" s="30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28"/>
      <c r="C855" s="28"/>
      <c r="D855" s="28"/>
      <c r="E855" s="28"/>
      <c r="F855" s="30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28"/>
      <c r="C856" s="28"/>
      <c r="D856" s="28"/>
      <c r="E856" s="28"/>
      <c r="F856" s="30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28"/>
      <c r="C857" s="28"/>
      <c r="D857" s="28"/>
      <c r="E857" s="28"/>
      <c r="F857" s="30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28"/>
      <c r="C858" s="28"/>
      <c r="D858" s="28"/>
      <c r="E858" s="28"/>
      <c r="F858" s="30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28"/>
      <c r="C859" s="28"/>
      <c r="D859" s="28"/>
      <c r="E859" s="28"/>
      <c r="F859" s="30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28"/>
      <c r="C860" s="28"/>
      <c r="D860" s="28"/>
      <c r="E860" s="28"/>
      <c r="F860" s="30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28"/>
      <c r="C861" s="28"/>
      <c r="D861" s="28"/>
      <c r="E861" s="28"/>
      <c r="F861" s="30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28"/>
      <c r="C862" s="28"/>
      <c r="D862" s="28"/>
      <c r="E862" s="28"/>
      <c r="F862" s="30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28"/>
      <c r="C863" s="28"/>
      <c r="D863" s="28"/>
      <c r="E863" s="28"/>
      <c r="F863" s="30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28"/>
      <c r="C864" s="28"/>
      <c r="D864" s="28"/>
      <c r="E864" s="28"/>
      <c r="F864" s="30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28"/>
      <c r="C865" s="28"/>
      <c r="D865" s="28"/>
      <c r="E865" s="28"/>
      <c r="F865" s="30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28"/>
      <c r="C866" s="28"/>
      <c r="D866" s="28"/>
      <c r="E866" s="28"/>
      <c r="F866" s="30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28"/>
      <c r="C867" s="28"/>
      <c r="D867" s="28"/>
      <c r="E867" s="28"/>
      <c r="F867" s="30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28"/>
      <c r="C868" s="28"/>
      <c r="D868" s="28"/>
      <c r="E868" s="28"/>
      <c r="F868" s="30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28"/>
      <c r="C869" s="28"/>
      <c r="D869" s="28"/>
      <c r="E869" s="28"/>
      <c r="F869" s="30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28"/>
      <c r="C870" s="28"/>
      <c r="D870" s="28"/>
      <c r="E870" s="28"/>
      <c r="F870" s="30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28"/>
      <c r="C871" s="28"/>
      <c r="D871" s="28"/>
      <c r="E871" s="28"/>
      <c r="F871" s="30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28"/>
      <c r="C872" s="28"/>
      <c r="D872" s="28"/>
      <c r="E872" s="28"/>
      <c r="F872" s="30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28"/>
      <c r="C873" s="28"/>
      <c r="D873" s="28"/>
      <c r="E873" s="28"/>
      <c r="F873" s="30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28"/>
      <c r="C874" s="28"/>
      <c r="D874" s="28"/>
      <c r="E874" s="28"/>
      <c r="F874" s="30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28"/>
      <c r="C875" s="28"/>
      <c r="D875" s="28"/>
      <c r="E875" s="28"/>
      <c r="F875" s="30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28"/>
      <c r="C876" s="28"/>
      <c r="D876" s="28"/>
      <c r="E876" s="28"/>
      <c r="F876" s="30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28"/>
      <c r="C877" s="28"/>
      <c r="D877" s="28"/>
      <c r="E877" s="28"/>
      <c r="F877" s="30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28"/>
      <c r="C878" s="28"/>
      <c r="D878" s="28"/>
      <c r="E878" s="28"/>
      <c r="F878" s="30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28"/>
      <c r="C879" s="28"/>
      <c r="D879" s="28"/>
      <c r="E879" s="28"/>
      <c r="F879" s="30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28"/>
      <c r="C880" s="28"/>
      <c r="D880" s="28"/>
      <c r="E880" s="28"/>
      <c r="F880" s="30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28"/>
      <c r="C881" s="28"/>
      <c r="D881" s="28"/>
      <c r="E881" s="28"/>
      <c r="F881" s="30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28"/>
      <c r="C882" s="28"/>
      <c r="D882" s="28"/>
      <c r="E882" s="28"/>
      <c r="F882" s="30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28"/>
      <c r="C883" s="28"/>
      <c r="D883" s="28"/>
      <c r="E883" s="28"/>
      <c r="F883" s="30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28"/>
      <c r="C884" s="28"/>
      <c r="D884" s="28"/>
      <c r="E884" s="28"/>
      <c r="F884" s="30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28"/>
      <c r="C885" s="28"/>
      <c r="D885" s="28"/>
      <c r="E885" s="28"/>
      <c r="F885" s="30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28"/>
      <c r="C886" s="28"/>
      <c r="D886" s="28"/>
      <c r="E886" s="28"/>
      <c r="F886" s="30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28"/>
      <c r="C887" s="28"/>
      <c r="D887" s="28"/>
      <c r="E887" s="28"/>
      <c r="F887" s="30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28"/>
      <c r="C888" s="28"/>
      <c r="D888" s="28"/>
      <c r="E888" s="28"/>
      <c r="F888" s="30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28"/>
      <c r="C889" s="28"/>
      <c r="D889" s="28"/>
      <c r="E889" s="28"/>
      <c r="F889" s="30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28"/>
      <c r="C890" s="28"/>
      <c r="D890" s="28"/>
      <c r="E890" s="28"/>
      <c r="F890" s="30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28"/>
      <c r="C891" s="28"/>
      <c r="D891" s="28"/>
      <c r="E891" s="28"/>
      <c r="F891" s="30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28"/>
      <c r="C892" s="28"/>
      <c r="D892" s="28"/>
      <c r="E892" s="28"/>
      <c r="F892" s="30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28"/>
      <c r="C893" s="28"/>
      <c r="D893" s="28"/>
      <c r="E893" s="28"/>
      <c r="F893" s="30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28"/>
      <c r="C894" s="28"/>
      <c r="D894" s="28"/>
      <c r="E894" s="28"/>
      <c r="F894" s="30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28"/>
      <c r="C895" s="28"/>
      <c r="D895" s="28"/>
      <c r="E895" s="28"/>
      <c r="F895" s="30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28"/>
      <c r="C896" s="28"/>
      <c r="D896" s="28"/>
      <c r="E896" s="28"/>
      <c r="F896" s="30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28"/>
      <c r="C897" s="28"/>
      <c r="D897" s="28"/>
      <c r="E897" s="28"/>
      <c r="F897" s="30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28"/>
      <c r="C898" s="28"/>
      <c r="D898" s="28"/>
      <c r="E898" s="28"/>
      <c r="F898" s="30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28"/>
      <c r="C899" s="28"/>
      <c r="D899" s="28"/>
      <c r="E899" s="28"/>
      <c r="F899" s="30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28"/>
      <c r="C900" s="28"/>
      <c r="D900" s="28"/>
      <c r="E900" s="28"/>
      <c r="F900" s="30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28"/>
      <c r="C901" s="28"/>
      <c r="D901" s="28"/>
      <c r="E901" s="28"/>
      <c r="F901" s="30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28"/>
      <c r="C902" s="28"/>
      <c r="D902" s="28"/>
      <c r="E902" s="28"/>
      <c r="F902" s="30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28"/>
      <c r="C903" s="28"/>
      <c r="D903" s="28"/>
      <c r="E903" s="28"/>
      <c r="F903" s="30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28"/>
      <c r="C904" s="28"/>
      <c r="D904" s="28"/>
      <c r="E904" s="28"/>
      <c r="F904" s="30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28"/>
      <c r="C905" s="28"/>
      <c r="D905" s="28"/>
      <c r="E905" s="28"/>
      <c r="F905" s="30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28"/>
      <c r="C906" s="28"/>
      <c r="D906" s="28"/>
      <c r="E906" s="28"/>
      <c r="F906" s="30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28"/>
      <c r="C907" s="28"/>
      <c r="D907" s="28"/>
      <c r="E907" s="28"/>
      <c r="F907" s="30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28"/>
      <c r="C908" s="28"/>
      <c r="D908" s="28"/>
      <c r="E908" s="28"/>
      <c r="F908" s="30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28"/>
      <c r="C909" s="28"/>
      <c r="D909" s="28"/>
      <c r="E909" s="28"/>
      <c r="F909" s="30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28"/>
      <c r="C910" s="28"/>
      <c r="D910" s="28"/>
      <c r="E910" s="28"/>
      <c r="F910" s="30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28"/>
      <c r="C911" s="28"/>
      <c r="D911" s="28"/>
      <c r="E911" s="28"/>
      <c r="F911" s="30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28"/>
      <c r="C912" s="28"/>
      <c r="D912" s="28"/>
      <c r="E912" s="28"/>
      <c r="F912" s="30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28"/>
      <c r="C913" s="28"/>
      <c r="D913" s="28"/>
      <c r="E913" s="28"/>
      <c r="F913" s="30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28"/>
      <c r="C914" s="28"/>
      <c r="D914" s="28"/>
      <c r="E914" s="28"/>
      <c r="F914" s="30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28"/>
      <c r="C915" s="28"/>
      <c r="D915" s="28"/>
      <c r="E915" s="28"/>
      <c r="F915" s="30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28"/>
      <c r="C916" s="28"/>
      <c r="D916" s="28"/>
      <c r="E916" s="28"/>
      <c r="F916" s="30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28"/>
      <c r="C917" s="28"/>
      <c r="D917" s="28"/>
      <c r="E917" s="28"/>
      <c r="F917" s="30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28"/>
      <c r="C918" s="28"/>
      <c r="D918" s="28"/>
      <c r="E918" s="28"/>
      <c r="F918" s="30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28"/>
      <c r="C919" s="28"/>
      <c r="D919" s="28"/>
      <c r="E919" s="28"/>
      <c r="F919" s="30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28"/>
      <c r="C920" s="28"/>
      <c r="D920" s="28"/>
      <c r="E920" s="28"/>
      <c r="F920" s="30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28"/>
      <c r="C921" s="28"/>
      <c r="D921" s="28"/>
      <c r="E921" s="28"/>
      <c r="F921" s="30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28"/>
      <c r="C922" s="28"/>
      <c r="D922" s="28"/>
      <c r="E922" s="28"/>
      <c r="F922" s="30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28"/>
      <c r="C923" s="28"/>
      <c r="D923" s="28"/>
      <c r="E923" s="28"/>
      <c r="F923" s="30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28"/>
      <c r="C924" s="28"/>
      <c r="D924" s="28"/>
      <c r="E924" s="28"/>
      <c r="F924" s="30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28"/>
      <c r="C925" s="28"/>
      <c r="D925" s="28"/>
      <c r="E925" s="28"/>
      <c r="F925" s="30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28"/>
      <c r="C926" s="28"/>
      <c r="D926" s="28"/>
      <c r="E926" s="28"/>
      <c r="F926" s="30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28"/>
      <c r="C927" s="28"/>
      <c r="D927" s="28"/>
      <c r="E927" s="28"/>
      <c r="F927" s="30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28"/>
      <c r="C928" s="28"/>
      <c r="D928" s="28"/>
      <c r="E928" s="28"/>
      <c r="F928" s="30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28"/>
      <c r="C929" s="28"/>
      <c r="D929" s="28"/>
      <c r="E929" s="28"/>
      <c r="F929" s="30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28"/>
      <c r="C930" s="28"/>
      <c r="D930" s="28"/>
      <c r="E930" s="28"/>
      <c r="F930" s="30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28"/>
      <c r="C931" s="28"/>
      <c r="D931" s="28"/>
      <c r="E931" s="28"/>
      <c r="F931" s="30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28"/>
      <c r="C932" s="28"/>
      <c r="D932" s="28"/>
      <c r="E932" s="28"/>
      <c r="F932" s="30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28"/>
      <c r="C933" s="28"/>
      <c r="D933" s="28"/>
      <c r="E933" s="28"/>
      <c r="F933" s="30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28"/>
      <c r="C934" s="28"/>
      <c r="D934" s="28"/>
      <c r="E934" s="28"/>
      <c r="F934" s="30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28"/>
      <c r="C935" s="28"/>
      <c r="D935" s="28"/>
      <c r="E935" s="28"/>
      <c r="F935" s="30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28"/>
      <c r="C936" s="28"/>
      <c r="D936" s="28"/>
      <c r="E936" s="28"/>
      <c r="F936" s="30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28"/>
      <c r="C937" s="28"/>
      <c r="D937" s="28"/>
      <c r="E937" s="28"/>
      <c r="F937" s="30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28"/>
      <c r="C938" s="28"/>
      <c r="D938" s="28"/>
      <c r="E938" s="28"/>
      <c r="F938" s="30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28"/>
      <c r="C939" s="28"/>
      <c r="D939" s="28"/>
      <c r="E939" s="28"/>
      <c r="F939" s="30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28"/>
      <c r="C940" s="28"/>
      <c r="D940" s="28"/>
      <c r="E940" s="28"/>
      <c r="F940" s="30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28"/>
      <c r="C941" s="28"/>
      <c r="D941" s="28"/>
      <c r="E941" s="28"/>
      <c r="F941" s="30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28"/>
      <c r="C942" s="28"/>
      <c r="D942" s="28"/>
      <c r="E942" s="28"/>
      <c r="F942" s="30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28"/>
      <c r="C943" s="28"/>
      <c r="D943" s="28"/>
      <c r="E943" s="28"/>
      <c r="F943" s="30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28"/>
      <c r="C944" s="28"/>
      <c r="D944" s="28"/>
      <c r="E944" s="28"/>
      <c r="F944" s="30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28"/>
      <c r="C945" s="28"/>
      <c r="D945" s="28"/>
      <c r="E945" s="28"/>
      <c r="F945" s="30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28"/>
      <c r="C946" s="28"/>
      <c r="D946" s="28"/>
      <c r="E946" s="28"/>
      <c r="F946" s="30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28"/>
      <c r="C947" s="28"/>
      <c r="D947" s="28"/>
      <c r="E947" s="28"/>
      <c r="F947" s="30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28"/>
      <c r="C948" s="28"/>
      <c r="D948" s="28"/>
      <c r="E948" s="28"/>
      <c r="F948" s="30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28"/>
      <c r="C949" s="28"/>
      <c r="D949" s="28"/>
      <c r="E949" s="28"/>
      <c r="F949" s="30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28"/>
      <c r="C950" s="28"/>
      <c r="D950" s="28"/>
      <c r="E950" s="28"/>
      <c r="F950" s="30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28"/>
      <c r="C951" s="28"/>
      <c r="D951" s="28"/>
      <c r="E951" s="28"/>
      <c r="F951" s="30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28"/>
      <c r="C952" s="28"/>
      <c r="D952" s="28"/>
      <c r="E952" s="28"/>
      <c r="F952" s="30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28"/>
      <c r="C953" s="28"/>
      <c r="D953" s="28"/>
      <c r="E953" s="28"/>
      <c r="F953" s="30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28"/>
      <c r="C954" s="28"/>
      <c r="D954" s="28"/>
      <c r="E954" s="28"/>
      <c r="F954" s="30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28"/>
      <c r="C955" s="28"/>
      <c r="D955" s="28"/>
      <c r="E955" s="28"/>
      <c r="F955" s="30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28"/>
      <c r="C956" s="28"/>
      <c r="D956" s="28"/>
      <c r="E956" s="28"/>
      <c r="F956" s="30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28"/>
      <c r="C957" s="28"/>
      <c r="D957" s="28"/>
      <c r="E957" s="28"/>
      <c r="F957" s="30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28"/>
      <c r="C958" s="28"/>
      <c r="D958" s="28"/>
      <c r="E958" s="28"/>
      <c r="F958" s="30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28"/>
      <c r="C959" s="28"/>
      <c r="D959" s="28"/>
      <c r="E959" s="28"/>
      <c r="F959" s="30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28"/>
      <c r="C960" s="28"/>
      <c r="D960" s="28"/>
      <c r="E960" s="28"/>
      <c r="F960" s="30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28"/>
      <c r="C961" s="28"/>
      <c r="D961" s="28"/>
      <c r="E961" s="28"/>
      <c r="F961" s="30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28"/>
      <c r="C962" s="28"/>
      <c r="D962" s="28"/>
      <c r="E962" s="28"/>
      <c r="F962" s="30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28"/>
      <c r="C963" s="28"/>
      <c r="D963" s="28"/>
      <c r="E963" s="28"/>
      <c r="F963" s="30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28"/>
      <c r="C964" s="28"/>
      <c r="D964" s="28"/>
      <c r="E964" s="28"/>
      <c r="F964" s="30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28"/>
      <c r="C965" s="28"/>
      <c r="D965" s="28"/>
      <c r="E965" s="28"/>
      <c r="F965" s="30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28"/>
      <c r="C966" s="28"/>
      <c r="D966" s="28"/>
      <c r="E966" s="28"/>
      <c r="F966" s="30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28"/>
      <c r="C967" s="28"/>
      <c r="D967" s="28"/>
      <c r="E967" s="28"/>
      <c r="F967" s="30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28"/>
      <c r="C968" s="28"/>
      <c r="D968" s="28"/>
      <c r="E968" s="28"/>
      <c r="F968" s="30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28"/>
      <c r="C969" s="28"/>
      <c r="D969" s="28"/>
      <c r="E969" s="28"/>
      <c r="F969" s="30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28"/>
      <c r="C970" s="28"/>
      <c r="D970" s="28"/>
      <c r="E970" s="28"/>
      <c r="F970" s="30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28"/>
      <c r="C971" s="28"/>
      <c r="D971" s="28"/>
      <c r="E971" s="28"/>
      <c r="F971" s="30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28"/>
      <c r="C972" s="28"/>
      <c r="D972" s="28"/>
      <c r="E972" s="28"/>
      <c r="F972" s="30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28"/>
      <c r="C973" s="28"/>
      <c r="D973" s="28"/>
      <c r="E973" s="28"/>
      <c r="F973" s="30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28"/>
      <c r="C974" s="28"/>
      <c r="D974" s="28"/>
      <c r="E974" s="28"/>
      <c r="F974" s="30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28"/>
      <c r="C975" s="28"/>
      <c r="D975" s="28"/>
      <c r="E975" s="28"/>
      <c r="F975" s="30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28"/>
      <c r="C976" s="28"/>
      <c r="D976" s="28"/>
      <c r="E976" s="28"/>
      <c r="F976" s="30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28"/>
      <c r="C977" s="28"/>
      <c r="D977" s="28"/>
      <c r="E977" s="28"/>
      <c r="F977" s="30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28"/>
      <c r="C978" s="28"/>
      <c r="D978" s="28"/>
      <c r="E978" s="28"/>
      <c r="F978" s="30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28"/>
      <c r="C979" s="28"/>
      <c r="D979" s="28"/>
      <c r="E979" s="28"/>
      <c r="F979" s="30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28"/>
      <c r="C980" s="28"/>
      <c r="D980" s="28"/>
      <c r="E980" s="28"/>
      <c r="F980" s="30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28"/>
      <c r="C981" s="28"/>
      <c r="D981" s="28"/>
      <c r="E981" s="28"/>
      <c r="F981" s="30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28"/>
      <c r="C982" s="28"/>
      <c r="D982" s="28"/>
      <c r="E982" s="28"/>
      <c r="F982" s="30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28"/>
      <c r="C983" s="28"/>
      <c r="D983" s="28"/>
      <c r="E983" s="28"/>
      <c r="F983" s="30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28"/>
      <c r="C984" s="28"/>
      <c r="D984" s="28"/>
      <c r="E984" s="28"/>
      <c r="F984" s="30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28"/>
      <c r="C985" s="28"/>
      <c r="D985" s="28"/>
      <c r="E985" s="28"/>
      <c r="F985" s="30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28"/>
      <c r="C986" s="28"/>
      <c r="D986" s="28"/>
      <c r="E986" s="28"/>
      <c r="F986" s="30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28"/>
      <c r="C987" s="28"/>
      <c r="D987" s="28"/>
      <c r="E987" s="28"/>
      <c r="F987" s="30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28"/>
      <c r="C988" s="28"/>
      <c r="D988" s="28"/>
      <c r="E988" s="28"/>
      <c r="F988" s="30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28"/>
      <c r="C989" s="28"/>
      <c r="D989" s="28"/>
      <c r="E989" s="28"/>
      <c r="F989" s="30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28"/>
      <c r="C990" s="28"/>
      <c r="D990" s="28"/>
      <c r="E990" s="28"/>
      <c r="F990" s="30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28"/>
      <c r="C991" s="28"/>
      <c r="D991" s="28"/>
      <c r="E991" s="28"/>
      <c r="F991" s="30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28"/>
      <c r="C992" s="28"/>
      <c r="D992" s="28"/>
      <c r="E992" s="28"/>
      <c r="F992" s="30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28"/>
      <c r="C993" s="28"/>
      <c r="D993" s="28"/>
      <c r="E993" s="28"/>
      <c r="F993" s="30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28"/>
      <c r="C994" s="28"/>
      <c r="D994" s="28"/>
      <c r="E994" s="28"/>
      <c r="F994" s="30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28"/>
      <c r="C995" s="28"/>
      <c r="D995" s="28"/>
      <c r="E995" s="28"/>
      <c r="F995" s="30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28"/>
      <c r="C996" s="28"/>
      <c r="D996" s="28"/>
      <c r="E996" s="28"/>
      <c r="F996" s="30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28"/>
      <c r="C997" s="28"/>
      <c r="D997" s="28"/>
      <c r="E997" s="28"/>
      <c r="F997" s="30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28"/>
      <c r="C998" s="28"/>
      <c r="D998" s="28"/>
      <c r="E998" s="28"/>
      <c r="F998" s="30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28"/>
      <c r="C999" s="28"/>
      <c r="D999" s="28"/>
      <c r="E999" s="28"/>
      <c r="F999" s="30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28"/>
      <c r="C1000" s="28"/>
      <c r="D1000" s="28"/>
      <c r="E1000" s="28"/>
      <c r="F1000" s="30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28"/>
      <c r="C1001" s="28"/>
      <c r="D1001" s="28"/>
      <c r="E1001" s="28"/>
      <c r="F1001" s="30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28"/>
      <c r="C1002" s="28"/>
      <c r="D1002" s="28"/>
      <c r="E1002" s="28"/>
      <c r="F1002" s="30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28"/>
      <c r="C1003" s="28"/>
      <c r="D1003" s="28"/>
      <c r="E1003" s="28"/>
      <c r="F1003" s="30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28"/>
      <c r="C1004" s="28"/>
      <c r="D1004" s="28"/>
      <c r="E1004" s="28"/>
      <c r="F1004" s="30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28"/>
      <c r="C1005" s="28"/>
      <c r="D1005" s="28"/>
      <c r="E1005" s="28"/>
      <c r="F1005" s="30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28"/>
      <c r="C1006" s="28"/>
      <c r="D1006" s="28"/>
      <c r="E1006" s="28"/>
      <c r="F1006" s="30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28"/>
      <c r="C1007" s="28"/>
      <c r="D1007" s="28"/>
      <c r="E1007" s="28"/>
      <c r="F1007" s="30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28"/>
      <c r="C1008" s="28"/>
      <c r="D1008" s="28"/>
      <c r="E1008" s="28"/>
      <c r="F1008" s="30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1"/>
      <c r="B1009" s="28"/>
      <c r="C1009" s="28"/>
      <c r="D1009" s="28"/>
      <c r="E1009" s="28"/>
      <c r="F1009" s="30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>
      <c r="A1010" s="1"/>
      <c r="B1010" s="28"/>
      <c r="C1010" s="28"/>
      <c r="D1010" s="28"/>
      <c r="E1010" s="28"/>
      <c r="F1010" s="30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>
      <c r="A1011" s="1"/>
      <c r="B1011" s="28"/>
      <c r="C1011" s="28"/>
      <c r="D1011" s="28"/>
      <c r="E1011" s="28"/>
      <c r="F1011" s="30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</sheetData>
  <mergeCells count="15">
    <mergeCell ref="B42:F42"/>
    <mergeCell ref="B43:F43"/>
    <mergeCell ref="B44:F44"/>
    <mergeCell ref="D1:F1"/>
    <mergeCell ref="C2:F2"/>
    <mergeCell ref="C3:F3"/>
    <mergeCell ref="C4:F4"/>
    <mergeCell ref="C5:F5"/>
    <mergeCell ref="C6:F6"/>
    <mergeCell ref="B7:F7"/>
    <mergeCell ref="B8:F8"/>
    <mergeCell ref="B9:F9"/>
    <mergeCell ref="B39:E39"/>
    <mergeCell ref="B40:F40"/>
    <mergeCell ref="B41:F41"/>
  </mergeCells>
  <conditionalFormatting sqref="E12:E36">
    <cfRule type="notContainsBlanks" dxfId="92" priority="1">
      <formula>LEN(TRIM(E12))&gt;0</formula>
    </cfRule>
  </conditionalFormatting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Z1022"/>
  <sheetViews>
    <sheetView workbookViewId="0"/>
  </sheetViews>
  <sheetFormatPr baseColWidth="10" defaultColWidth="12.6640625" defaultRowHeight="15" customHeight="1"/>
  <cols>
    <col min="1" max="1" width="12.6640625" customWidth="1"/>
    <col min="2" max="2" width="7.6640625" customWidth="1"/>
    <col min="3" max="3" width="49.1640625" customWidth="1"/>
    <col min="4" max="4" width="28.1640625" customWidth="1"/>
    <col min="5" max="5" width="19.1640625" customWidth="1"/>
    <col min="6" max="6" width="18.33203125" customWidth="1"/>
  </cols>
  <sheetData>
    <row r="1" spans="1:26" ht="15.75" customHeight="1">
      <c r="A1" s="1"/>
      <c r="B1" s="2"/>
      <c r="C1" s="3"/>
      <c r="D1" s="199" t="s">
        <v>0</v>
      </c>
      <c r="E1" s="196"/>
      <c r="F1" s="19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4"/>
      <c r="C2" s="199" t="s">
        <v>1</v>
      </c>
      <c r="D2" s="196"/>
      <c r="E2" s="196"/>
      <c r="F2" s="19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4"/>
      <c r="C3" s="200" t="s">
        <v>2</v>
      </c>
      <c r="D3" s="196"/>
      <c r="E3" s="196"/>
      <c r="F3" s="19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4"/>
      <c r="C4" s="200" t="s">
        <v>3</v>
      </c>
      <c r="D4" s="196"/>
      <c r="E4" s="196"/>
      <c r="F4" s="19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4"/>
      <c r="C5" s="200" t="s">
        <v>4</v>
      </c>
      <c r="D5" s="196"/>
      <c r="E5" s="196"/>
      <c r="F5" s="19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5"/>
      <c r="C6" s="200" t="s">
        <v>5</v>
      </c>
      <c r="D6" s="196"/>
      <c r="E6" s="196"/>
      <c r="F6" s="19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201" t="s">
        <v>6</v>
      </c>
      <c r="C7" s="196"/>
      <c r="D7" s="196"/>
      <c r="E7" s="196"/>
      <c r="F7" s="19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95" t="s">
        <v>7</v>
      </c>
      <c r="C8" s="196"/>
      <c r="D8" s="196"/>
      <c r="E8" s="196"/>
      <c r="F8" s="19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97" t="s">
        <v>173</v>
      </c>
      <c r="C9" s="196"/>
      <c r="D9" s="196"/>
      <c r="E9" s="196"/>
      <c r="F9" s="19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6"/>
      <c r="C10" s="2"/>
      <c r="D10" s="2"/>
      <c r="E10" s="2"/>
      <c r="F10" s="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8" t="s">
        <v>8</v>
      </c>
      <c r="C11" s="9" t="s">
        <v>9</v>
      </c>
      <c r="D11" s="9" t="s">
        <v>10</v>
      </c>
      <c r="E11" s="9" t="s">
        <v>11</v>
      </c>
      <c r="F11" s="10" t="s">
        <v>12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1">
        <v>1</v>
      </c>
      <c r="C12" s="12" t="s">
        <v>174</v>
      </c>
      <c r="D12" s="13" t="s">
        <v>175</v>
      </c>
      <c r="E12" s="14">
        <v>7800</v>
      </c>
      <c r="F12" s="16">
        <v>736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1">
        <v>2</v>
      </c>
      <c r="C13" s="12" t="s">
        <v>176</v>
      </c>
      <c r="D13" s="13" t="s">
        <v>81</v>
      </c>
      <c r="E13" s="18">
        <v>23365</v>
      </c>
      <c r="F13" s="15" t="s">
        <v>177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1">
        <v>3</v>
      </c>
      <c r="C14" s="12" t="s">
        <v>178</v>
      </c>
      <c r="D14" s="13" t="s">
        <v>179</v>
      </c>
      <c r="E14" s="19">
        <v>17000</v>
      </c>
      <c r="F14" s="15">
        <v>383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1">
        <v>4</v>
      </c>
      <c r="C15" s="12" t="s">
        <v>180</v>
      </c>
      <c r="D15" s="13" t="s">
        <v>181</v>
      </c>
      <c r="E15" s="14">
        <v>24896</v>
      </c>
      <c r="F15" s="22" t="s">
        <v>182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1">
        <v>5</v>
      </c>
      <c r="C16" s="12" t="s">
        <v>183</v>
      </c>
      <c r="D16" s="13" t="s">
        <v>184</v>
      </c>
      <c r="E16" s="14">
        <v>135864.07</v>
      </c>
      <c r="F16" s="15">
        <v>1394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1">
        <v>6</v>
      </c>
      <c r="C17" s="12" t="s">
        <v>185</v>
      </c>
      <c r="D17" s="13" t="s">
        <v>186</v>
      </c>
      <c r="E17" s="14">
        <v>72512.13</v>
      </c>
      <c r="F17" s="15">
        <v>931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1">
        <v>7</v>
      </c>
      <c r="C18" s="12" t="s">
        <v>187</v>
      </c>
      <c r="D18" s="13" t="s">
        <v>188</v>
      </c>
      <c r="E18" s="19">
        <v>79500</v>
      </c>
      <c r="F18" s="15">
        <v>56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1">
        <v>8</v>
      </c>
      <c r="C19" s="17" t="s">
        <v>189</v>
      </c>
      <c r="D19" s="13" t="s">
        <v>190</v>
      </c>
      <c r="E19" s="18">
        <v>7166</v>
      </c>
      <c r="F19" s="15">
        <v>3970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1">
        <v>9</v>
      </c>
      <c r="C20" s="17" t="s">
        <v>191</v>
      </c>
      <c r="D20" s="13" t="s">
        <v>192</v>
      </c>
      <c r="E20" s="19" t="s">
        <v>193</v>
      </c>
      <c r="F20" s="15">
        <v>13301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1">
        <v>10</v>
      </c>
      <c r="C21" s="17" t="s">
        <v>194</v>
      </c>
      <c r="D21" s="13" t="s">
        <v>195</v>
      </c>
      <c r="E21" s="18">
        <v>110000</v>
      </c>
      <c r="F21" s="15">
        <v>1110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1">
        <v>11</v>
      </c>
      <c r="C22" s="12" t="s">
        <v>196</v>
      </c>
      <c r="D22" s="13" t="s">
        <v>197</v>
      </c>
      <c r="E22" s="18">
        <v>141270</v>
      </c>
      <c r="F22" s="15" t="s">
        <v>198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1">
        <v>12</v>
      </c>
      <c r="C23" s="3" t="s">
        <v>199</v>
      </c>
      <c r="D23" s="13" t="s">
        <v>81</v>
      </c>
      <c r="E23" s="18">
        <v>14200</v>
      </c>
      <c r="F23" s="22" t="s">
        <v>200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1">
        <v>13</v>
      </c>
      <c r="C24" s="21" t="s">
        <v>201</v>
      </c>
      <c r="D24" s="13" t="s">
        <v>202</v>
      </c>
      <c r="E24" s="18">
        <v>4740</v>
      </c>
      <c r="F24" s="22">
        <v>959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1">
        <v>14</v>
      </c>
      <c r="C25" s="21" t="s">
        <v>203</v>
      </c>
      <c r="D25" s="13" t="s">
        <v>81</v>
      </c>
      <c r="E25" s="18">
        <v>31260</v>
      </c>
      <c r="F25" s="23" t="s">
        <v>204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1">
        <v>15</v>
      </c>
      <c r="C26" s="21" t="s">
        <v>205</v>
      </c>
      <c r="D26" s="13" t="s">
        <v>118</v>
      </c>
      <c r="E26" s="18">
        <v>2301</v>
      </c>
      <c r="F26" s="23" t="s">
        <v>102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1">
        <v>16</v>
      </c>
      <c r="C27" s="12" t="s">
        <v>206</v>
      </c>
      <c r="D27" s="13" t="s">
        <v>207</v>
      </c>
      <c r="E27" s="19">
        <v>323616.3</v>
      </c>
      <c r="F27" s="15">
        <v>744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1">
        <v>17</v>
      </c>
      <c r="C28" s="35" t="s">
        <v>114</v>
      </c>
      <c r="D28" s="13" t="s">
        <v>124</v>
      </c>
      <c r="E28" s="14">
        <v>198850.59</v>
      </c>
      <c r="F28" s="36">
        <v>914695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1">
        <v>18</v>
      </c>
      <c r="C29" s="12" t="s">
        <v>208</v>
      </c>
      <c r="D29" s="13" t="s">
        <v>209</v>
      </c>
      <c r="E29" s="19">
        <v>267292</v>
      </c>
      <c r="F29" s="15">
        <v>2179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1">
        <v>19</v>
      </c>
      <c r="C30" s="12" t="s">
        <v>210</v>
      </c>
      <c r="D30" s="13" t="s">
        <v>211</v>
      </c>
      <c r="E30" s="19">
        <v>15556.45</v>
      </c>
      <c r="F30" s="20">
        <v>436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1">
        <v>20</v>
      </c>
      <c r="C31" s="21" t="s">
        <v>212</v>
      </c>
      <c r="D31" s="13" t="s">
        <v>213</v>
      </c>
      <c r="E31" s="18">
        <v>18017</v>
      </c>
      <c r="F31" s="23">
        <v>95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1">
        <v>21</v>
      </c>
      <c r="C32" s="21" t="s">
        <v>214</v>
      </c>
      <c r="D32" s="13" t="s">
        <v>195</v>
      </c>
      <c r="E32" s="18">
        <v>32011</v>
      </c>
      <c r="F32" s="23">
        <v>2010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1">
        <v>22</v>
      </c>
      <c r="C33" s="21" t="s">
        <v>215</v>
      </c>
      <c r="D33" s="13" t="s">
        <v>81</v>
      </c>
      <c r="E33" s="18">
        <v>29300</v>
      </c>
      <c r="F33" s="23" t="s">
        <v>216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1">
        <v>23</v>
      </c>
      <c r="C34" s="21" t="s">
        <v>217</v>
      </c>
      <c r="D34" s="13" t="s">
        <v>218</v>
      </c>
      <c r="E34" s="18">
        <v>114000</v>
      </c>
      <c r="F34" s="23">
        <v>834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1">
        <v>24</v>
      </c>
      <c r="C35" s="21" t="s">
        <v>219</v>
      </c>
      <c r="D35" s="13" t="s">
        <v>220</v>
      </c>
      <c r="E35" s="18">
        <v>7500</v>
      </c>
      <c r="F35" s="23" t="s">
        <v>221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1">
        <v>25</v>
      </c>
      <c r="C36" s="21" t="s">
        <v>222</v>
      </c>
      <c r="D36" s="13" t="s">
        <v>223</v>
      </c>
      <c r="E36" s="18">
        <v>43930</v>
      </c>
      <c r="F36" s="23">
        <v>464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1">
        <v>26</v>
      </c>
      <c r="C37" s="21" t="s">
        <v>224</v>
      </c>
      <c r="D37" s="13" t="s">
        <v>143</v>
      </c>
      <c r="E37" s="18">
        <v>47320</v>
      </c>
      <c r="F37" s="23">
        <v>557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1">
        <v>27</v>
      </c>
      <c r="C38" s="21" t="s">
        <v>225</v>
      </c>
      <c r="D38" s="13" t="s">
        <v>226</v>
      </c>
      <c r="E38" s="18">
        <v>13200</v>
      </c>
      <c r="F38" s="23" t="s">
        <v>227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1">
        <v>28</v>
      </c>
      <c r="C39" s="21" t="s">
        <v>228</v>
      </c>
      <c r="D39" s="13" t="s">
        <v>48</v>
      </c>
      <c r="E39" s="18">
        <v>22400</v>
      </c>
      <c r="F39" s="23" t="s">
        <v>229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1">
        <v>29</v>
      </c>
      <c r="C40" s="21" t="s">
        <v>230</v>
      </c>
      <c r="D40" s="13" t="s">
        <v>143</v>
      </c>
      <c r="E40" s="18">
        <v>97520</v>
      </c>
      <c r="F40" s="23">
        <v>562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1">
        <v>30</v>
      </c>
      <c r="C41" s="21" t="s">
        <v>231</v>
      </c>
      <c r="D41" s="13" t="s">
        <v>232</v>
      </c>
      <c r="E41" s="18">
        <v>14700</v>
      </c>
      <c r="F41" s="23">
        <v>3366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1">
        <v>31</v>
      </c>
      <c r="C42" s="21" t="s">
        <v>233</v>
      </c>
      <c r="D42" s="13" t="s">
        <v>232</v>
      </c>
      <c r="E42" s="18">
        <v>918.75</v>
      </c>
      <c r="F42" s="23">
        <v>3399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1">
        <v>32</v>
      </c>
      <c r="C43" s="21" t="s">
        <v>234</v>
      </c>
      <c r="D43" s="13" t="s">
        <v>143</v>
      </c>
      <c r="E43" s="18">
        <v>84080</v>
      </c>
      <c r="F43" s="32">
        <v>567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1">
        <v>33</v>
      </c>
      <c r="C44" s="21" t="s">
        <v>235</v>
      </c>
      <c r="D44" s="13" t="s">
        <v>48</v>
      </c>
      <c r="E44" s="18">
        <v>61600.02</v>
      </c>
      <c r="F44" s="32" t="s">
        <v>236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33"/>
      <c r="B45" s="11">
        <v>34</v>
      </c>
      <c r="C45" s="21" t="s">
        <v>237</v>
      </c>
      <c r="D45" s="13" t="s">
        <v>238</v>
      </c>
      <c r="E45" s="18">
        <v>23305</v>
      </c>
      <c r="F45" s="32">
        <v>786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33"/>
      <c r="B46" s="11">
        <v>35</v>
      </c>
      <c r="C46" s="21" t="s">
        <v>239</v>
      </c>
      <c r="D46" s="13" t="s">
        <v>240</v>
      </c>
      <c r="E46" s="18">
        <v>82000</v>
      </c>
      <c r="F46" s="32">
        <v>828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33"/>
      <c r="B47" s="11">
        <v>36</v>
      </c>
      <c r="C47" s="21" t="s">
        <v>241</v>
      </c>
      <c r="D47" s="13" t="s">
        <v>242</v>
      </c>
      <c r="E47" s="18">
        <v>3345</v>
      </c>
      <c r="F47" s="32" t="s">
        <v>243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8" t="s">
        <v>24</v>
      </c>
      <c r="C48" s="24"/>
      <c r="D48" s="8"/>
      <c r="E48" s="25">
        <f>SUM(E12:E47)</f>
        <v>2172336.31</v>
      </c>
      <c r="F48" s="26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6"/>
      <c r="C49" s="2"/>
      <c r="D49" s="2"/>
      <c r="E49" s="2"/>
      <c r="F49" s="7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98" t="s">
        <v>121</v>
      </c>
      <c r="C50" s="196"/>
      <c r="D50" s="196"/>
      <c r="E50" s="196"/>
      <c r="F50" s="27">
        <f>E48*2%</f>
        <v>43446.726200000005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98" t="s">
        <v>25</v>
      </c>
      <c r="C51" s="196"/>
      <c r="D51" s="196"/>
      <c r="E51" s="196"/>
      <c r="F51" s="19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5.25" customHeight="1">
      <c r="A52" s="1"/>
      <c r="B52" s="198"/>
      <c r="C52" s="196"/>
      <c r="D52" s="196"/>
      <c r="E52" s="196"/>
      <c r="F52" s="196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98" t="s">
        <v>26</v>
      </c>
      <c r="C53" s="196"/>
      <c r="D53" s="196"/>
      <c r="E53" s="196"/>
      <c r="F53" s="19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98" t="s">
        <v>27</v>
      </c>
      <c r="C54" s="196"/>
      <c r="D54" s="196"/>
      <c r="E54" s="196"/>
      <c r="F54" s="19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98" t="s">
        <v>28</v>
      </c>
      <c r="C55" s="196"/>
      <c r="D55" s="196"/>
      <c r="E55" s="196"/>
      <c r="F55" s="19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28"/>
      <c r="C56" s="28"/>
      <c r="D56" s="29"/>
      <c r="E56" s="29"/>
      <c r="F56" s="3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28"/>
      <c r="C57" s="28"/>
      <c r="D57" s="29"/>
      <c r="E57" s="29"/>
      <c r="F57" s="3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28"/>
      <c r="C58" s="28"/>
      <c r="D58" s="29"/>
      <c r="E58" s="29"/>
      <c r="F58" s="3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28"/>
      <c r="C59" s="28"/>
      <c r="D59" s="29"/>
      <c r="E59" s="29"/>
      <c r="F59" s="3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28"/>
      <c r="C60" s="28"/>
      <c r="D60" s="29"/>
      <c r="E60" s="29"/>
      <c r="F60" s="3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28"/>
      <c r="C61" s="28"/>
      <c r="D61" s="29"/>
      <c r="E61" s="29"/>
      <c r="F61" s="3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28"/>
      <c r="C62" s="28"/>
      <c r="D62" s="29"/>
      <c r="E62" s="29"/>
      <c r="F62" s="3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28"/>
      <c r="C63" s="28"/>
      <c r="D63" s="29"/>
      <c r="E63" s="29"/>
      <c r="F63" s="3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28"/>
      <c r="C64" s="28"/>
      <c r="D64" s="29"/>
      <c r="E64" s="29"/>
      <c r="F64" s="3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28"/>
      <c r="C65" s="28"/>
      <c r="D65" s="29"/>
      <c r="E65" s="29"/>
      <c r="F65" s="3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28"/>
      <c r="C66" s="28"/>
      <c r="D66" s="29"/>
      <c r="E66" s="29"/>
      <c r="F66" s="3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28"/>
      <c r="C67" s="28"/>
      <c r="D67" s="29"/>
      <c r="E67" s="29"/>
      <c r="F67" s="3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28"/>
      <c r="C68" s="28"/>
      <c r="D68" s="29"/>
      <c r="E68" s="29"/>
      <c r="F68" s="3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28"/>
      <c r="C69" s="28"/>
      <c r="D69" s="29"/>
      <c r="E69" s="29"/>
      <c r="F69" s="3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28"/>
      <c r="C70" s="28"/>
      <c r="D70" s="29"/>
      <c r="E70" s="29"/>
      <c r="F70" s="3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28"/>
      <c r="C71" s="28"/>
      <c r="D71" s="29"/>
      <c r="E71" s="29"/>
      <c r="F71" s="3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28"/>
      <c r="C72" s="28"/>
      <c r="D72" s="29"/>
      <c r="E72" s="29"/>
      <c r="F72" s="3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28"/>
      <c r="C73" s="28"/>
      <c r="D73" s="29"/>
      <c r="E73" s="29"/>
      <c r="F73" s="3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28"/>
      <c r="C74" s="28"/>
      <c r="D74" s="29"/>
      <c r="E74" s="29"/>
      <c r="F74" s="3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28"/>
      <c r="C75" s="28"/>
      <c r="D75" s="29"/>
      <c r="E75" s="29"/>
      <c r="F75" s="3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28"/>
      <c r="C76" s="28"/>
      <c r="D76" s="29"/>
      <c r="E76" s="29"/>
      <c r="F76" s="3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28"/>
      <c r="C77" s="28"/>
      <c r="D77" s="29"/>
      <c r="E77" s="29"/>
      <c r="F77" s="3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28"/>
      <c r="C78" s="28"/>
      <c r="D78" s="29"/>
      <c r="E78" s="29"/>
      <c r="F78" s="3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28"/>
      <c r="C79" s="28"/>
      <c r="D79" s="29"/>
      <c r="E79" s="29"/>
      <c r="F79" s="3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28"/>
      <c r="C80" s="28"/>
      <c r="D80" s="29"/>
      <c r="E80" s="29"/>
      <c r="F80" s="3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28"/>
      <c r="C81" s="28"/>
      <c r="D81" s="29"/>
      <c r="E81" s="29"/>
      <c r="F81" s="3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28"/>
      <c r="C82" s="28"/>
      <c r="D82" s="29"/>
      <c r="E82" s="29"/>
      <c r="F82" s="3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28"/>
      <c r="C83" s="28"/>
      <c r="D83" s="29"/>
      <c r="E83" s="29"/>
      <c r="F83" s="3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28"/>
      <c r="C84" s="28"/>
      <c r="D84" s="29"/>
      <c r="E84" s="29"/>
      <c r="F84" s="3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28"/>
      <c r="C85" s="28"/>
      <c r="D85" s="29"/>
      <c r="E85" s="29"/>
      <c r="F85" s="3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28"/>
      <c r="C86" s="28"/>
      <c r="D86" s="29"/>
      <c r="E86" s="29"/>
      <c r="F86" s="3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28"/>
      <c r="C87" s="28"/>
      <c r="D87" s="29"/>
      <c r="E87" s="29"/>
      <c r="F87" s="3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28"/>
      <c r="C88" s="28"/>
      <c r="D88" s="29"/>
      <c r="E88" s="29"/>
      <c r="F88" s="30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28"/>
      <c r="C89" s="28"/>
      <c r="D89" s="29"/>
      <c r="E89" s="29"/>
      <c r="F89" s="3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28"/>
      <c r="C90" s="28"/>
      <c r="D90" s="29"/>
      <c r="E90" s="29"/>
      <c r="F90" s="3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28"/>
      <c r="C91" s="28"/>
      <c r="D91" s="29"/>
      <c r="E91" s="29"/>
      <c r="F91" s="3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28"/>
      <c r="C92" s="28"/>
      <c r="D92" s="29"/>
      <c r="E92" s="29"/>
      <c r="F92" s="3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28"/>
      <c r="C93" s="28"/>
      <c r="D93" s="29"/>
      <c r="E93" s="29"/>
      <c r="F93" s="3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28"/>
      <c r="C94" s="28"/>
      <c r="D94" s="29"/>
      <c r="E94" s="29"/>
      <c r="F94" s="30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28"/>
      <c r="C95" s="28"/>
      <c r="D95" s="29"/>
      <c r="E95" s="29"/>
      <c r="F95" s="3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28"/>
      <c r="C96" s="28"/>
      <c r="D96" s="29"/>
      <c r="E96" s="29"/>
      <c r="F96" s="3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28"/>
      <c r="C97" s="28"/>
      <c r="D97" s="29"/>
      <c r="E97" s="29"/>
      <c r="F97" s="3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28"/>
      <c r="C98" s="28"/>
      <c r="D98" s="29"/>
      <c r="E98" s="29"/>
      <c r="F98" s="3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28"/>
      <c r="C99" s="28"/>
      <c r="D99" s="29"/>
      <c r="E99" s="29"/>
      <c r="F99" s="3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28"/>
      <c r="C100" s="28"/>
      <c r="D100" s="29"/>
      <c r="E100" s="29"/>
      <c r="F100" s="3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28"/>
      <c r="C101" s="28"/>
      <c r="D101" s="29"/>
      <c r="E101" s="29"/>
      <c r="F101" s="30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28"/>
      <c r="C102" s="28"/>
      <c r="D102" s="29"/>
      <c r="E102" s="29"/>
      <c r="F102" s="3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28"/>
      <c r="C103" s="28"/>
      <c r="D103" s="29"/>
      <c r="E103" s="29"/>
      <c r="F103" s="3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28"/>
      <c r="C104" s="28"/>
      <c r="D104" s="29"/>
      <c r="E104" s="29"/>
      <c r="F104" s="3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28"/>
      <c r="C105" s="28"/>
      <c r="D105" s="29"/>
      <c r="E105" s="29"/>
      <c r="F105" s="30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28"/>
      <c r="C106" s="28"/>
      <c r="D106" s="29"/>
      <c r="E106" s="29"/>
      <c r="F106" s="30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28"/>
      <c r="C107" s="28"/>
      <c r="D107" s="29"/>
      <c r="E107" s="29"/>
      <c r="F107" s="30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28"/>
      <c r="C108" s="28"/>
      <c r="D108" s="29"/>
      <c r="E108" s="29"/>
      <c r="F108" s="30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28"/>
      <c r="C109" s="28"/>
      <c r="D109" s="29"/>
      <c r="E109" s="29"/>
      <c r="F109" s="30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28"/>
      <c r="C110" s="28"/>
      <c r="D110" s="29"/>
      <c r="E110" s="29"/>
      <c r="F110" s="30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28"/>
      <c r="C111" s="28"/>
      <c r="D111" s="29"/>
      <c r="E111" s="29"/>
      <c r="F111" s="30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28"/>
      <c r="C112" s="28"/>
      <c r="D112" s="29"/>
      <c r="E112" s="29"/>
      <c r="F112" s="30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28"/>
      <c r="C113" s="28"/>
      <c r="D113" s="29"/>
      <c r="E113" s="29"/>
      <c r="F113" s="30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28"/>
      <c r="C114" s="28"/>
      <c r="D114" s="29"/>
      <c r="E114" s="29"/>
      <c r="F114" s="30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28"/>
      <c r="C115" s="28"/>
      <c r="D115" s="29"/>
      <c r="E115" s="29"/>
      <c r="F115" s="30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28"/>
      <c r="C116" s="28"/>
      <c r="D116" s="29"/>
      <c r="E116" s="29"/>
      <c r="F116" s="30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28"/>
      <c r="C117" s="28"/>
      <c r="D117" s="29"/>
      <c r="E117" s="29"/>
      <c r="F117" s="30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28"/>
      <c r="C118" s="28"/>
      <c r="D118" s="29"/>
      <c r="E118" s="29"/>
      <c r="F118" s="30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28"/>
      <c r="C119" s="28"/>
      <c r="D119" s="29"/>
      <c r="E119" s="29"/>
      <c r="F119" s="30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28"/>
      <c r="C120" s="28"/>
      <c r="D120" s="29"/>
      <c r="E120" s="29"/>
      <c r="F120" s="30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28"/>
      <c r="C121" s="28"/>
      <c r="D121" s="29"/>
      <c r="E121" s="29"/>
      <c r="F121" s="30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28"/>
      <c r="C122" s="28"/>
      <c r="D122" s="29"/>
      <c r="E122" s="29"/>
      <c r="F122" s="30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28"/>
      <c r="C123" s="28"/>
      <c r="D123" s="29"/>
      <c r="E123" s="29"/>
      <c r="F123" s="30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28"/>
      <c r="C124" s="28"/>
      <c r="D124" s="29"/>
      <c r="E124" s="29"/>
      <c r="F124" s="30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28"/>
      <c r="C125" s="28"/>
      <c r="D125" s="29"/>
      <c r="E125" s="29"/>
      <c r="F125" s="30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28"/>
      <c r="C126" s="28"/>
      <c r="D126" s="29"/>
      <c r="E126" s="29"/>
      <c r="F126" s="30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28"/>
      <c r="C127" s="28"/>
      <c r="D127" s="29"/>
      <c r="E127" s="29"/>
      <c r="F127" s="30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28"/>
      <c r="C128" s="28"/>
      <c r="D128" s="29"/>
      <c r="E128" s="29"/>
      <c r="F128" s="30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28"/>
      <c r="C129" s="28"/>
      <c r="D129" s="29"/>
      <c r="E129" s="29"/>
      <c r="F129" s="30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28"/>
      <c r="C130" s="28"/>
      <c r="D130" s="29"/>
      <c r="E130" s="29"/>
      <c r="F130" s="30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28"/>
      <c r="C131" s="28"/>
      <c r="D131" s="29"/>
      <c r="E131" s="29"/>
      <c r="F131" s="30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28"/>
      <c r="C132" s="28"/>
      <c r="D132" s="29"/>
      <c r="E132" s="29"/>
      <c r="F132" s="30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28"/>
      <c r="C133" s="28"/>
      <c r="D133" s="29"/>
      <c r="E133" s="29"/>
      <c r="F133" s="30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28"/>
      <c r="C134" s="28"/>
      <c r="D134" s="29"/>
      <c r="E134" s="29"/>
      <c r="F134" s="30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28"/>
      <c r="C135" s="28"/>
      <c r="D135" s="29"/>
      <c r="E135" s="29"/>
      <c r="F135" s="30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28"/>
      <c r="C136" s="28"/>
      <c r="D136" s="29"/>
      <c r="E136" s="29"/>
      <c r="F136" s="30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28"/>
      <c r="C137" s="28"/>
      <c r="D137" s="29"/>
      <c r="E137" s="29"/>
      <c r="F137" s="3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28"/>
      <c r="C138" s="28"/>
      <c r="D138" s="29"/>
      <c r="E138" s="29"/>
      <c r="F138" s="30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28"/>
      <c r="C139" s="28"/>
      <c r="D139" s="29"/>
      <c r="E139" s="29"/>
      <c r="F139" s="30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28"/>
      <c r="C140" s="28"/>
      <c r="D140" s="29"/>
      <c r="E140" s="29"/>
      <c r="F140" s="30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28"/>
      <c r="C141" s="28"/>
      <c r="D141" s="29"/>
      <c r="E141" s="29"/>
      <c r="F141" s="30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28"/>
      <c r="C142" s="28"/>
      <c r="D142" s="29"/>
      <c r="E142" s="29"/>
      <c r="F142" s="30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28"/>
      <c r="C143" s="28"/>
      <c r="D143" s="29"/>
      <c r="E143" s="29"/>
      <c r="F143" s="30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28"/>
      <c r="C144" s="28"/>
      <c r="D144" s="29"/>
      <c r="E144" s="29"/>
      <c r="F144" s="3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28"/>
      <c r="C145" s="28"/>
      <c r="D145" s="29"/>
      <c r="E145" s="29"/>
      <c r="F145" s="3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28"/>
      <c r="C146" s="28"/>
      <c r="D146" s="29"/>
      <c r="E146" s="29"/>
      <c r="F146" s="3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28"/>
      <c r="C147" s="28"/>
      <c r="D147" s="29"/>
      <c r="E147" s="29"/>
      <c r="F147" s="3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28"/>
      <c r="C148" s="28"/>
      <c r="D148" s="29"/>
      <c r="E148" s="29"/>
      <c r="F148" s="3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28"/>
      <c r="C149" s="28"/>
      <c r="D149" s="29"/>
      <c r="E149" s="29"/>
      <c r="F149" s="3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28"/>
      <c r="C150" s="28"/>
      <c r="D150" s="29"/>
      <c r="E150" s="29"/>
      <c r="F150" s="3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28"/>
      <c r="C151" s="28"/>
      <c r="D151" s="29"/>
      <c r="E151" s="29"/>
      <c r="F151" s="3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28"/>
      <c r="C152" s="28"/>
      <c r="D152" s="29"/>
      <c r="E152" s="29"/>
      <c r="F152" s="3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28"/>
      <c r="C153" s="28"/>
      <c r="D153" s="29"/>
      <c r="E153" s="29"/>
      <c r="F153" s="30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28"/>
      <c r="C154" s="28"/>
      <c r="D154" s="29"/>
      <c r="E154" s="29"/>
      <c r="F154" s="3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28"/>
      <c r="C155" s="28"/>
      <c r="D155" s="29"/>
      <c r="E155" s="29"/>
      <c r="F155" s="30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28"/>
      <c r="C156" s="28"/>
      <c r="D156" s="29"/>
      <c r="E156" s="29"/>
      <c r="F156" s="30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28"/>
      <c r="C157" s="28"/>
      <c r="D157" s="29"/>
      <c r="E157" s="29"/>
      <c r="F157" s="30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28"/>
      <c r="C158" s="28"/>
      <c r="D158" s="29"/>
      <c r="E158" s="29"/>
      <c r="F158" s="30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28"/>
      <c r="C159" s="28"/>
      <c r="D159" s="29"/>
      <c r="E159" s="29"/>
      <c r="F159" s="30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28"/>
      <c r="C160" s="28"/>
      <c r="D160" s="29"/>
      <c r="E160" s="29"/>
      <c r="F160" s="30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28"/>
      <c r="C161" s="28"/>
      <c r="D161" s="29"/>
      <c r="E161" s="29"/>
      <c r="F161" s="30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28"/>
      <c r="C162" s="28"/>
      <c r="D162" s="29"/>
      <c r="E162" s="29"/>
      <c r="F162" s="30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28"/>
      <c r="C163" s="28"/>
      <c r="D163" s="29"/>
      <c r="E163" s="29"/>
      <c r="F163" s="30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28"/>
      <c r="C164" s="28"/>
      <c r="D164" s="29"/>
      <c r="E164" s="29"/>
      <c r="F164" s="30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28"/>
      <c r="C165" s="28"/>
      <c r="D165" s="29"/>
      <c r="E165" s="29"/>
      <c r="F165" s="30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28"/>
      <c r="C166" s="28"/>
      <c r="D166" s="29"/>
      <c r="E166" s="29"/>
      <c r="F166" s="30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28"/>
      <c r="C167" s="28"/>
      <c r="D167" s="29"/>
      <c r="E167" s="29"/>
      <c r="F167" s="30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28"/>
      <c r="C168" s="28"/>
      <c r="D168" s="29"/>
      <c r="E168" s="29"/>
      <c r="F168" s="30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28"/>
      <c r="C169" s="28"/>
      <c r="D169" s="29"/>
      <c r="E169" s="29"/>
      <c r="F169" s="30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28"/>
      <c r="C170" s="28"/>
      <c r="D170" s="29"/>
      <c r="E170" s="29"/>
      <c r="F170" s="30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28"/>
      <c r="C171" s="28"/>
      <c r="D171" s="29"/>
      <c r="E171" s="29"/>
      <c r="F171" s="30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28"/>
      <c r="C172" s="28"/>
      <c r="D172" s="29"/>
      <c r="E172" s="29"/>
      <c r="F172" s="30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28"/>
      <c r="C173" s="28"/>
      <c r="D173" s="29"/>
      <c r="E173" s="29"/>
      <c r="F173" s="30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28"/>
      <c r="C174" s="28"/>
      <c r="D174" s="29"/>
      <c r="E174" s="29"/>
      <c r="F174" s="30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28"/>
      <c r="C175" s="28"/>
      <c r="D175" s="29"/>
      <c r="E175" s="29"/>
      <c r="F175" s="30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28"/>
      <c r="C176" s="28"/>
      <c r="D176" s="29"/>
      <c r="E176" s="29"/>
      <c r="F176" s="30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28"/>
      <c r="C177" s="28"/>
      <c r="D177" s="29"/>
      <c r="E177" s="29"/>
      <c r="F177" s="30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28"/>
      <c r="C178" s="28"/>
      <c r="D178" s="29"/>
      <c r="E178" s="29"/>
      <c r="F178" s="30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28"/>
      <c r="C179" s="28"/>
      <c r="D179" s="29"/>
      <c r="E179" s="29"/>
      <c r="F179" s="30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28"/>
      <c r="C180" s="28"/>
      <c r="D180" s="29"/>
      <c r="E180" s="29"/>
      <c r="F180" s="30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28"/>
      <c r="C181" s="28"/>
      <c r="D181" s="29"/>
      <c r="E181" s="29"/>
      <c r="F181" s="30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28"/>
      <c r="C182" s="28"/>
      <c r="D182" s="29"/>
      <c r="E182" s="29"/>
      <c r="F182" s="30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28"/>
      <c r="C183" s="28"/>
      <c r="D183" s="29"/>
      <c r="E183" s="29"/>
      <c r="F183" s="30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28"/>
      <c r="C184" s="28"/>
      <c r="D184" s="29"/>
      <c r="E184" s="29"/>
      <c r="F184" s="30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28"/>
      <c r="C185" s="28"/>
      <c r="D185" s="29"/>
      <c r="E185" s="29"/>
      <c r="F185" s="30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28"/>
      <c r="C186" s="28"/>
      <c r="D186" s="29"/>
      <c r="E186" s="29"/>
      <c r="F186" s="30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28"/>
      <c r="C187" s="28"/>
      <c r="D187" s="29"/>
      <c r="E187" s="29"/>
      <c r="F187" s="3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28"/>
      <c r="C188" s="28"/>
      <c r="D188" s="29"/>
      <c r="E188" s="29"/>
      <c r="F188" s="30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28"/>
      <c r="C189" s="28"/>
      <c r="D189" s="29"/>
      <c r="E189" s="29"/>
      <c r="F189" s="30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28"/>
      <c r="C190" s="28"/>
      <c r="D190" s="29"/>
      <c r="E190" s="29"/>
      <c r="F190" s="30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28"/>
      <c r="C191" s="28"/>
      <c r="D191" s="29"/>
      <c r="E191" s="29"/>
      <c r="F191" s="30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28"/>
      <c r="C192" s="28"/>
      <c r="D192" s="29"/>
      <c r="E192" s="29"/>
      <c r="F192" s="30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28"/>
      <c r="C193" s="28"/>
      <c r="D193" s="29"/>
      <c r="E193" s="29"/>
      <c r="F193" s="30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28"/>
      <c r="C194" s="28"/>
      <c r="D194" s="29"/>
      <c r="E194" s="29"/>
      <c r="F194" s="30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28"/>
      <c r="C195" s="28"/>
      <c r="D195" s="29"/>
      <c r="E195" s="29"/>
      <c r="F195" s="30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28"/>
      <c r="C196" s="28"/>
      <c r="D196" s="29"/>
      <c r="E196" s="29"/>
      <c r="F196" s="30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28"/>
      <c r="C197" s="28"/>
      <c r="D197" s="29"/>
      <c r="E197" s="29"/>
      <c r="F197" s="30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28"/>
      <c r="C198" s="28"/>
      <c r="D198" s="29"/>
      <c r="E198" s="29"/>
      <c r="F198" s="30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28"/>
      <c r="C199" s="28"/>
      <c r="D199" s="29"/>
      <c r="E199" s="29"/>
      <c r="F199" s="30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28"/>
      <c r="C200" s="28"/>
      <c r="D200" s="29"/>
      <c r="E200" s="29"/>
      <c r="F200" s="30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28"/>
      <c r="C201" s="28"/>
      <c r="D201" s="29"/>
      <c r="E201" s="29"/>
      <c r="F201" s="30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28"/>
      <c r="C202" s="28"/>
      <c r="D202" s="29"/>
      <c r="E202" s="29"/>
      <c r="F202" s="30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28"/>
      <c r="C203" s="28"/>
      <c r="D203" s="29"/>
      <c r="E203" s="29"/>
      <c r="F203" s="30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28"/>
      <c r="C204" s="28"/>
      <c r="D204" s="29"/>
      <c r="E204" s="29"/>
      <c r="F204" s="30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28"/>
      <c r="C205" s="28"/>
      <c r="D205" s="29"/>
      <c r="E205" s="29"/>
      <c r="F205" s="30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28"/>
      <c r="C206" s="28"/>
      <c r="D206" s="29"/>
      <c r="E206" s="29"/>
      <c r="F206" s="30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28"/>
      <c r="C207" s="28"/>
      <c r="D207" s="29"/>
      <c r="E207" s="29"/>
      <c r="F207" s="30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28"/>
      <c r="C208" s="28"/>
      <c r="D208" s="29"/>
      <c r="E208" s="29"/>
      <c r="F208" s="30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28"/>
      <c r="C209" s="28"/>
      <c r="D209" s="29"/>
      <c r="E209" s="29"/>
      <c r="F209" s="30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28"/>
      <c r="C210" s="28"/>
      <c r="D210" s="29"/>
      <c r="E210" s="29"/>
      <c r="F210" s="30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28"/>
      <c r="C211" s="28"/>
      <c r="D211" s="29"/>
      <c r="E211" s="29"/>
      <c r="F211" s="30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28"/>
      <c r="C212" s="28"/>
      <c r="D212" s="29"/>
      <c r="E212" s="29"/>
      <c r="F212" s="30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28"/>
      <c r="C213" s="28"/>
      <c r="D213" s="29"/>
      <c r="E213" s="29"/>
      <c r="F213" s="30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28"/>
      <c r="C214" s="28"/>
      <c r="D214" s="29"/>
      <c r="E214" s="29"/>
      <c r="F214" s="30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28"/>
      <c r="C215" s="28"/>
      <c r="D215" s="29"/>
      <c r="E215" s="29"/>
      <c r="F215" s="30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28"/>
      <c r="C216" s="28"/>
      <c r="D216" s="29"/>
      <c r="E216" s="29"/>
      <c r="F216" s="30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28"/>
      <c r="C217" s="28"/>
      <c r="D217" s="29"/>
      <c r="E217" s="29"/>
      <c r="F217" s="30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28"/>
      <c r="C218" s="28"/>
      <c r="D218" s="29"/>
      <c r="E218" s="29"/>
      <c r="F218" s="30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28"/>
      <c r="C219" s="28"/>
      <c r="D219" s="29"/>
      <c r="E219" s="29"/>
      <c r="F219" s="30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28"/>
      <c r="C220" s="28"/>
      <c r="D220" s="29"/>
      <c r="E220" s="29"/>
      <c r="F220" s="30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28"/>
      <c r="C221" s="28"/>
      <c r="D221" s="29"/>
      <c r="E221" s="29"/>
      <c r="F221" s="30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28"/>
      <c r="C222" s="28"/>
      <c r="D222" s="29"/>
      <c r="E222" s="29"/>
      <c r="F222" s="30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28"/>
      <c r="C223" s="28"/>
      <c r="D223" s="29"/>
      <c r="E223" s="29"/>
      <c r="F223" s="30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28"/>
      <c r="C224" s="28"/>
      <c r="D224" s="29"/>
      <c r="E224" s="29"/>
      <c r="F224" s="30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28"/>
      <c r="C225" s="28"/>
      <c r="D225" s="29"/>
      <c r="E225" s="29"/>
      <c r="F225" s="30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28"/>
      <c r="C226" s="28"/>
      <c r="D226" s="29"/>
      <c r="E226" s="29"/>
      <c r="F226" s="30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28"/>
      <c r="C227" s="28"/>
      <c r="D227" s="29"/>
      <c r="E227" s="29"/>
      <c r="F227" s="30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28"/>
      <c r="C228" s="28"/>
      <c r="D228" s="29"/>
      <c r="E228" s="29"/>
      <c r="F228" s="30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28"/>
      <c r="C229" s="28"/>
      <c r="D229" s="29"/>
      <c r="E229" s="29"/>
      <c r="F229" s="30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28"/>
      <c r="C230" s="28"/>
      <c r="D230" s="29"/>
      <c r="E230" s="29"/>
      <c r="F230" s="30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28"/>
      <c r="C231" s="28"/>
      <c r="D231" s="29"/>
      <c r="E231" s="29"/>
      <c r="F231" s="30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28"/>
      <c r="C232" s="28"/>
      <c r="D232" s="29"/>
      <c r="E232" s="29"/>
      <c r="F232" s="30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28"/>
      <c r="C233" s="28"/>
      <c r="D233" s="29"/>
      <c r="E233" s="29"/>
      <c r="F233" s="30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28"/>
      <c r="C234" s="28"/>
      <c r="D234" s="29"/>
      <c r="E234" s="29"/>
      <c r="F234" s="30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28"/>
      <c r="C235" s="28"/>
      <c r="D235" s="29"/>
      <c r="E235" s="29"/>
      <c r="F235" s="30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28"/>
      <c r="C236" s="28"/>
      <c r="D236" s="29"/>
      <c r="E236" s="29"/>
      <c r="F236" s="30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28"/>
      <c r="C237" s="28"/>
      <c r="D237" s="29"/>
      <c r="E237" s="29"/>
      <c r="F237" s="30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28"/>
      <c r="C238" s="28"/>
      <c r="D238" s="29"/>
      <c r="E238" s="29"/>
      <c r="F238" s="30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28"/>
      <c r="C239" s="28"/>
      <c r="D239" s="29"/>
      <c r="E239" s="29"/>
      <c r="F239" s="30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28"/>
      <c r="C240" s="28"/>
      <c r="D240" s="29"/>
      <c r="E240" s="29"/>
      <c r="F240" s="30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28"/>
      <c r="C241" s="28"/>
      <c r="D241" s="29"/>
      <c r="E241" s="29"/>
      <c r="F241" s="30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28"/>
      <c r="C242" s="28"/>
      <c r="D242" s="29"/>
      <c r="E242" s="29"/>
      <c r="F242" s="30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28"/>
      <c r="C243" s="28"/>
      <c r="D243" s="29"/>
      <c r="E243" s="29"/>
      <c r="F243" s="30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28"/>
      <c r="C244" s="28"/>
      <c r="D244" s="29"/>
      <c r="E244" s="29"/>
      <c r="F244" s="30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28"/>
      <c r="C245" s="28"/>
      <c r="D245" s="29"/>
      <c r="E245" s="29"/>
      <c r="F245" s="30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28"/>
      <c r="C246" s="28"/>
      <c r="D246" s="29"/>
      <c r="E246" s="29"/>
      <c r="F246" s="30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28"/>
      <c r="C247" s="28"/>
      <c r="D247" s="29"/>
      <c r="E247" s="29"/>
      <c r="F247" s="30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28"/>
      <c r="C248" s="28"/>
      <c r="D248" s="29"/>
      <c r="E248" s="29"/>
      <c r="F248" s="30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28"/>
      <c r="C249" s="28"/>
      <c r="D249" s="29"/>
      <c r="E249" s="29"/>
      <c r="F249" s="30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28"/>
      <c r="C250" s="28"/>
      <c r="D250" s="29"/>
      <c r="E250" s="29"/>
      <c r="F250" s="30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28"/>
      <c r="C251" s="28"/>
      <c r="D251" s="29"/>
      <c r="E251" s="29"/>
      <c r="F251" s="30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28"/>
      <c r="C252" s="28"/>
      <c r="D252" s="29"/>
      <c r="E252" s="29"/>
      <c r="F252" s="30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28"/>
      <c r="C253" s="28"/>
      <c r="D253" s="29"/>
      <c r="E253" s="29"/>
      <c r="F253" s="30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28"/>
      <c r="C254" s="28"/>
      <c r="D254" s="29"/>
      <c r="E254" s="29"/>
      <c r="F254" s="30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28"/>
      <c r="C255" s="28"/>
      <c r="D255" s="29"/>
      <c r="E255" s="29"/>
      <c r="F255" s="3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28"/>
      <c r="C256" s="28"/>
      <c r="D256" s="28"/>
      <c r="E256" s="28"/>
      <c r="F256" s="30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28"/>
      <c r="C257" s="28"/>
      <c r="D257" s="28"/>
      <c r="E257" s="28"/>
      <c r="F257" s="30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28"/>
      <c r="C258" s="28"/>
      <c r="D258" s="28"/>
      <c r="E258" s="28"/>
      <c r="F258" s="30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28"/>
      <c r="C259" s="28"/>
      <c r="D259" s="28"/>
      <c r="E259" s="28"/>
      <c r="F259" s="30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28"/>
      <c r="C260" s="28"/>
      <c r="D260" s="28"/>
      <c r="E260" s="28"/>
      <c r="F260" s="30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28"/>
      <c r="C261" s="28"/>
      <c r="D261" s="28"/>
      <c r="E261" s="28"/>
      <c r="F261" s="30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28"/>
      <c r="C262" s="28"/>
      <c r="D262" s="28"/>
      <c r="E262" s="28"/>
      <c r="F262" s="30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28"/>
      <c r="C263" s="28"/>
      <c r="D263" s="28"/>
      <c r="E263" s="28"/>
      <c r="F263" s="30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28"/>
      <c r="C264" s="28"/>
      <c r="D264" s="28"/>
      <c r="E264" s="28"/>
      <c r="F264" s="30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28"/>
      <c r="C265" s="28"/>
      <c r="D265" s="28"/>
      <c r="E265" s="28"/>
      <c r="F265" s="30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28"/>
      <c r="C266" s="28"/>
      <c r="D266" s="28"/>
      <c r="E266" s="28"/>
      <c r="F266" s="30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28"/>
      <c r="C267" s="28"/>
      <c r="D267" s="28"/>
      <c r="E267" s="28"/>
      <c r="F267" s="30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28"/>
      <c r="C268" s="28"/>
      <c r="D268" s="28"/>
      <c r="E268" s="28"/>
      <c r="F268" s="30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28"/>
      <c r="C269" s="28"/>
      <c r="D269" s="28"/>
      <c r="E269" s="28"/>
      <c r="F269" s="30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28"/>
      <c r="C270" s="28"/>
      <c r="D270" s="28"/>
      <c r="E270" s="28"/>
      <c r="F270" s="30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28"/>
      <c r="C271" s="28"/>
      <c r="D271" s="28"/>
      <c r="E271" s="28"/>
      <c r="F271" s="30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28"/>
      <c r="C272" s="28"/>
      <c r="D272" s="28"/>
      <c r="E272" s="28"/>
      <c r="F272" s="30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28"/>
      <c r="C273" s="28"/>
      <c r="D273" s="28"/>
      <c r="E273" s="28"/>
      <c r="F273" s="30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28"/>
      <c r="C274" s="28"/>
      <c r="D274" s="28"/>
      <c r="E274" s="28"/>
      <c r="F274" s="30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28"/>
      <c r="C275" s="28"/>
      <c r="D275" s="28"/>
      <c r="E275" s="28"/>
      <c r="F275" s="30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28"/>
      <c r="C276" s="28"/>
      <c r="D276" s="28"/>
      <c r="E276" s="28"/>
      <c r="F276" s="30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28"/>
      <c r="C277" s="28"/>
      <c r="D277" s="28"/>
      <c r="E277" s="28"/>
      <c r="F277" s="30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28"/>
      <c r="C278" s="28"/>
      <c r="D278" s="28"/>
      <c r="E278" s="28"/>
      <c r="F278" s="30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28"/>
      <c r="C279" s="28"/>
      <c r="D279" s="28"/>
      <c r="E279" s="28"/>
      <c r="F279" s="30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28"/>
      <c r="C280" s="28"/>
      <c r="D280" s="28"/>
      <c r="E280" s="28"/>
      <c r="F280" s="30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28"/>
      <c r="C281" s="28"/>
      <c r="D281" s="28"/>
      <c r="E281" s="28"/>
      <c r="F281" s="30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28"/>
      <c r="C282" s="28"/>
      <c r="D282" s="28"/>
      <c r="E282" s="28"/>
      <c r="F282" s="30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28"/>
      <c r="C283" s="28"/>
      <c r="D283" s="28"/>
      <c r="E283" s="28"/>
      <c r="F283" s="30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28"/>
      <c r="C284" s="28"/>
      <c r="D284" s="28"/>
      <c r="E284" s="28"/>
      <c r="F284" s="30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28"/>
      <c r="C285" s="28"/>
      <c r="D285" s="28"/>
      <c r="E285" s="28"/>
      <c r="F285" s="30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28"/>
      <c r="C286" s="28"/>
      <c r="D286" s="28"/>
      <c r="E286" s="28"/>
      <c r="F286" s="30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28"/>
      <c r="C287" s="28"/>
      <c r="D287" s="28"/>
      <c r="E287" s="28"/>
      <c r="F287" s="30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28"/>
      <c r="C288" s="28"/>
      <c r="D288" s="28"/>
      <c r="E288" s="28"/>
      <c r="F288" s="30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28"/>
      <c r="C289" s="28"/>
      <c r="D289" s="28"/>
      <c r="E289" s="28"/>
      <c r="F289" s="30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28"/>
      <c r="C290" s="28"/>
      <c r="D290" s="28"/>
      <c r="E290" s="28"/>
      <c r="F290" s="30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28"/>
      <c r="C291" s="28"/>
      <c r="D291" s="28"/>
      <c r="E291" s="28"/>
      <c r="F291" s="30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28"/>
      <c r="C292" s="28"/>
      <c r="D292" s="28"/>
      <c r="E292" s="28"/>
      <c r="F292" s="30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28"/>
      <c r="C293" s="28"/>
      <c r="D293" s="28"/>
      <c r="E293" s="28"/>
      <c r="F293" s="30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28"/>
      <c r="C294" s="28"/>
      <c r="D294" s="28"/>
      <c r="E294" s="28"/>
      <c r="F294" s="30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28"/>
      <c r="C295" s="28"/>
      <c r="D295" s="28"/>
      <c r="E295" s="28"/>
      <c r="F295" s="30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28"/>
      <c r="C296" s="28"/>
      <c r="D296" s="28"/>
      <c r="E296" s="28"/>
      <c r="F296" s="30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28"/>
      <c r="C297" s="28"/>
      <c r="D297" s="28"/>
      <c r="E297" s="28"/>
      <c r="F297" s="30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28"/>
      <c r="C298" s="28"/>
      <c r="D298" s="28"/>
      <c r="E298" s="28"/>
      <c r="F298" s="30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28"/>
      <c r="C299" s="28"/>
      <c r="D299" s="28"/>
      <c r="E299" s="28"/>
      <c r="F299" s="30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28"/>
      <c r="C300" s="28"/>
      <c r="D300" s="28"/>
      <c r="E300" s="28"/>
      <c r="F300" s="30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28"/>
      <c r="C301" s="28"/>
      <c r="D301" s="28"/>
      <c r="E301" s="28"/>
      <c r="F301" s="30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28"/>
      <c r="C302" s="28"/>
      <c r="D302" s="28"/>
      <c r="E302" s="28"/>
      <c r="F302" s="30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28"/>
      <c r="C303" s="28"/>
      <c r="D303" s="28"/>
      <c r="E303" s="28"/>
      <c r="F303" s="30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28"/>
      <c r="C304" s="28"/>
      <c r="D304" s="28"/>
      <c r="E304" s="28"/>
      <c r="F304" s="30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28"/>
      <c r="C305" s="28"/>
      <c r="D305" s="28"/>
      <c r="E305" s="28"/>
      <c r="F305" s="30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28"/>
      <c r="C306" s="28"/>
      <c r="D306" s="28"/>
      <c r="E306" s="28"/>
      <c r="F306" s="30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28"/>
      <c r="C307" s="28"/>
      <c r="D307" s="28"/>
      <c r="E307" s="28"/>
      <c r="F307" s="30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28"/>
      <c r="C308" s="28"/>
      <c r="D308" s="28"/>
      <c r="E308" s="28"/>
      <c r="F308" s="30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28"/>
      <c r="C309" s="28"/>
      <c r="D309" s="28"/>
      <c r="E309" s="28"/>
      <c r="F309" s="30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28"/>
      <c r="C310" s="28"/>
      <c r="D310" s="28"/>
      <c r="E310" s="28"/>
      <c r="F310" s="30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28"/>
      <c r="C311" s="28"/>
      <c r="D311" s="28"/>
      <c r="E311" s="28"/>
      <c r="F311" s="30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28"/>
      <c r="C312" s="28"/>
      <c r="D312" s="28"/>
      <c r="E312" s="28"/>
      <c r="F312" s="30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28"/>
      <c r="C313" s="28"/>
      <c r="D313" s="28"/>
      <c r="E313" s="28"/>
      <c r="F313" s="30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28"/>
      <c r="C314" s="28"/>
      <c r="D314" s="28"/>
      <c r="E314" s="28"/>
      <c r="F314" s="30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28"/>
      <c r="C315" s="28"/>
      <c r="D315" s="28"/>
      <c r="E315" s="28"/>
      <c r="F315" s="30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28"/>
      <c r="C316" s="28"/>
      <c r="D316" s="28"/>
      <c r="E316" s="28"/>
      <c r="F316" s="30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28"/>
      <c r="C317" s="28"/>
      <c r="D317" s="28"/>
      <c r="E317" s="28"/>
      <c r="F317" s="30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28"/>
      <c r="C318" s="28"/>
      <c r="D318" s="28"/>
      <c r="E318" s="28"/>
      <c r="F318" s="30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28"/>
      <c r="C319" s="28"/>
      <c r="D319" s="28"/>
      <c r="E319" s="28"/>
      <c r="F319" s="30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28"/>
      <c r="C320" s="28"/>
      <c r="D320" s="28"/>
      <c r="E320" s="28"/>
      <c r="F320" s="30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28"/>
      <c r="C321" s="28"/>
      <c r="D321" s="28"/>
      <c r="E321" s="28"/>
      <c r="F321" s="30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28"/>
      <c r="C322" s="28"/>
      <c r="D322" s="28"/>
      <c r="E322" s="28"/>
      <c r="F322" s="30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28"/>
      <c r="C323" s="28"/>
      <c r="D323" s="28"/>
      <c r="E323" s="28"/>
      <c r="F323" s="30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28"/>
      <c r="C324" s="28"/>
      <c r="D324" s="28"/>
      <c r="E324" s="28"/>
      <c r="F324" s="30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28"/>
      <c r="C325" s="28"/>
      <c r="D325" s="28"/>
      <c r="E325" s="28"/>
      <c r="F325" s="30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28"/>
      <c r="C326" s="28"/>
      <c r="D326" s="28"/>
      <c r="E326" s="28"/>
      <c r="F326" s="30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28"/>
      <c r="C327" s="28"/>
      <c r="D327" s="28"/>
      <c r="E327" s="28"/>
      <c r="F327" s="30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28"/>
      <c r="C328" s="28"/>
      <c r="D328" s="28"/>
      <c r="E328" s="28"/>
      <c r="F328" s="30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28"/>
      <c r="C329" s="28"/>
      <c r="D329" s="28"/>
      <c r="E329" s="28"/>
      <c r="F329" s="30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28"/>
      <c r="C330" s="28"/>
      <c r="D330" s="28"/>
      <c r="E330" s="28"/>
      <c r="F330" s="30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28"/>
      <c r="C331" s="28"/>
      <c r="D331" s="28"/>
      <c r="E331" s="28"/>
      <c r="F331" s="30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28"/>
      <c r="C332" s="28"/>
      <c r="D332" s="28"/>
      <c r="E332" s="28"/>
      <c r="F332" s="30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28"/>
      <c r="C333" s="28"/>
      <c r="D333" s="28"/>
      <c r="E333" s="28"/>
      <c r="F333" s="30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28"/>
      <c r="C334" s="28"/>
      <c r="D334" s="28"/>
      <c r="E334" s="28"/>
      <c r="F334" s="30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28"/>
      <c r="C335" s="28"/>
      <c r="D335" s="28"/>
      <c r="E335" s="28"/>
      <c r="F335" s="30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28"/>
      <c r="C336" s="28"/>
      <c r="D336" s="28"/>
      <c r="E336" s="28"/>
      <c r="F336" s="30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28"/>
      <c r="C337" s="28"/>
      <c r="D337" s="28"/>
      <c r="E337" s="28"/>
      <c r="F337" s="30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28"/>
      <c r="C338" s="28"/>
      <c r="D338" s="28"/>
      <c r="E338" s="28"/>
      <c r="F338" s="30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28"/>
      <c r="C339" s="28"/>
      <c r="D339" s="28"/>
      <c r="E339" s="28"/>
      <c r="F339" s="30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28"/>
      <c r="C340" s="28"/>
      <c r="D340" s="28"/>
      <c r="E340" s="28"/>
      <c r="F340" s="30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28"/>
      <c r="C341" s="28"/>
      <c r="D341" s="28"/>
      <c r="E341" s="28"/>
      <c r="F341" s="30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28"/>
      <c r="C342" s="28"/>
      <c r="D342" s="28"/>
      <c r="E342" s="28"/>
      <c r="F342" s="30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28"/>
      <c r="C343" s="28"/>
      <c r="D343" s="28"/>
      <c r="E343" s="28"/>
      <c r="F343" s="30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28"/>
      <c r="C344" s="28"/>
      <c r="D344" s="28"/>
      <c r="E344" s="28"/>
      <c r="F344" s="30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28"/>
      <c r="C345" s="28"/>
      <c r="D345" s="28"/>
      <c r="E345" s="28"/>
      <c r="F345" s="30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28"/>
      <c r="C346" s="28"/>
      <c r="D346" s="28"/>
      <c r="E346" s="28"/>
      <c r="F346" s="30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28"/>
      <c r="C347" s="28"/>
      <c r="D347" s="28"/>
      <c r="E347" s="28"/>
      <c r="F347" s="30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28"/>
      <c r="C348" s="28"/>
      <c r="D348" s="28"/>
      <c r="E348" s="28"/>
      <c r="F348" s="30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28"/>
      <c r="C349" s="28"/>
      <c r="D349" s="28"/>
      <c r="E349" s="28"/>
      <c r="F349" s="30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28"/>
      <c r="C350" s="28"/>
      <c r="D350" s="28"/>
      <c r="E350" s="28"/>
      <c r="F350" s="30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28"/>
      <c r="C351" s="28"/>
      <c r="D351" s="28"/>
      <c r="E351" s="28"/>
      <c r="F351" s="30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28"/>
      <c r="C352" s="28"/>
      <c r="D352" s="28"/>
      <c r="E352" s="28"/>
      <c r="F352" s="30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28"/>
      <c r="C353" s="28"/>
      <c r="D353" s="28"/>
      <c r="E353" s="28"/>
      <c r="F353" s="30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28"/>
      <c r="C354" s="28"/>
      <c r="D354" s="28"/>
      <c r="E354" s="28"/>
      <c r="F354" s="30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28"/>
      <c r="C355" s="28"/>
      <c r="D355" s="28"/>
      <c r="E355" s="28"/>
      <c r="F355" s="30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28"/>
      <c r="C356" s="28"/>
      <c r="D356" s="28"/>
      <c r="E356" s="28"/>
      <c r="F356" s="30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28"/>
      <c r="C357" s="28"/>
      <c r="D357" s="28"/>
      <c r="E357" s="28"/>
      <c r="F357" s="30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28"/>
      <c r="C358" s="28"/>
      <c r="D358" s="28"/>
      <c r="E358" s="28"/>
      <c r="F358" s="30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28"/>
      <c r="C359" s="28"/>
      <c r="D359" s="28"/>
      <c r="E359" s="28"/>
      <c r="F359" s="30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28"/>
      <c r="C360" s="28"/>
      <c r="D360" s="28"/>
      <c r="E360" s="28"/>
      <c r="F360" s="30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28"/>
      <c r="C361" s="28"/>
      <c r="D361" s="28"/>
      <c r="E361" s="28"/>
      <c r="F361" s="30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28"/>
      <c r="C362" s="28"/>
      <c r="D362" s="28"/>
      <c r="E362" s="28"/>
      <c r="F362" s="30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28"/>
      <c r="C363" s="28"/>
      <c r="D363" s="28"/>
      <c r="E363" s="28"/>
      <c r="F363" s="30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28"/>
      <c r="C364" s="28"/>
      <c r="D364" s="28"/>
      <c r="E364" s="28"/>
      <c r="F364" s="30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28"/>
      <c r="C365" s="28"/>
      <c r="D365" s="28"/>
      <c r="E365" s="28"/>
      <c r="F365" s="30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28"/>
      <c r="C366" s="28"/>
      <c r="D366" s="28"/>
      <c r="E366" s="28"/>
      <c r="F366" s="30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28"/>
      <c r="C367" s="28"/>
      <c r="D367" s="28"/>
      <c r="E367" s="28"/>
      <c r="F367" s="30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28"/>
      <c r="C368" s="28"/>
      <c r="D368" s="28"/>
      <c r="E368" s="28"/>
      <c r="F368" s="30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28"/>
      <c r="C369" s="28"/>
      <c r="D369" s="28"/>
      <c r="E369" s="28"/>
      <c r="F369" s="30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28"/>
      <c r="C370" s="28"/>
      <c r="D370" s="28"/>
      <c r="E370" s="28"/>
      <c r="F370" s="30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28"/>
      <c r="C371" s="28"/>
      <c r="D371" s="28"/>
      <c r="E371" s="28"/>
      <c r="F371" s="30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28"/>
      <c r="C372" s="28"/>
      <c r="D372" s="28"/>
      <c r="E372" s="28"/>
      <c r="F372" s="30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28"/>
      <c r="C373" s="28"/>
      <c r="D373" s="28"/>
      <c r="E373" s="28"/>
      <c r="F373" s="30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28"/>
      <c r="C374" s="28"/>
      <c r="D374" s="28"/>
      <c r="E374" s="28"/>
      <c r="F374" s="30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28"/>
      <c r="C375" s="28"/>
      <c r="D375" s="28"/>
      <c r="E375" s="28"/>
      <c r="F375" s="30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28"/>
      <c r="C376" s="28"/>
      <c r="D376" s="28"/>
      <c r="E376" s="28"/>
      <c r="F376" s="30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28"/>
      <c r="C377" s="28"/>
      <c r="D377" s="28"/>
      <c r="E377" s="28"/>
      <c r="F377" s="30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28"/>
      <c r="C378" s="28"/>
      <c r="D378" s="28"/>
      <c r="E378" s="28"/>
      <c r="F378" s="30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28"/>
      <c r="C379" s="28"/>
      <c r="D379" s="28"/>
      <c r="E379" s="28"/>
      <c r="F379" s="30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28"/>
      <c r="C380" s="28"/>
      <c r="D380" s="28"/>
      <c r="E380" s="28"/>
      <c r="F380" s="30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28"/>
      <c r="C381" s="28"/>
      <c r="D381" s="28"/>
      <c r="E381" s="28"/>
      <c r="F381" s="30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28"/>
      <c r="C382" s="28"/>
      <c r="D382" s="28"/>
      <c r="E382" s="28"/>
      <c r="F382" s="30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28"/>
      <c r="C383" s="28"/>
      <c r="D383" s="28"/>
      <c r="E383" s="28"/>
      <c r="F383" s="30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28"/>
      <c r="C384" s="28"/>
      <c r="D384" s="28"/>
      <c r="E384" s="28"/>
      <c r="F384" s="30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28"/>
      <c r="C385" s="28"/>
      <c r="D385" s="28"/>
      <c r="E385" s="28"/>
      <c r="F385" s="30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28"/>
      <c r="C386" s="28"/>
      <c r="D386" s="28"/>
      <c r="E386" s="28"/>
      <c r="F386" s="30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28"/>
      <c r="C387" s="28"/>
      <c r="D387" s="28"/>
      <c r="E387" s="28"/>
      <c r="F387" s="30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28"/>
      <c r="C388" s="28"/>
      <c r="D388" s="28"/>
      <c r="E388" s="28"/>
      <c r="F388" s="30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28"/>
      <c r="C389" s="28"/>
      <c r="D389" s="28"/>
      <c r="E389" s="28"/>
      <c r="F389" s="30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28"/>
      <c r="C390" s="28"/>
      <c r="D390" s="28"/>
      <c r="E390" s="28"/>
      <c r="F390" s="30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28"/>
      <c r="C391" s="28"/>
      <c r="D391" s="28"/>
      <c r="E391" s="28"/>
      <c r="F391" s="30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28"/>
      <c r="C392" s="28"/>
      <c r="D392" s="28"/>
      <c r="E392" s="28"/>
      <c r="F392" s="30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28"/>
      <c r="C393" s="28"/>
      <c r="D393" s="28"/>
      <c r="E393" s="28"/>
      <c r="F393" s="30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28"/>
      <c r="C394" s="28"/>
      <c r="D394" s="28"/>
      <c r="E394" s="28"/>
      <c r="F394" s="30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28"/>
      <c r="C395" s="28"/>
      <c r="D395" s="28"/>
      <c r="E395" s="28"/>
      <c r="F395" s="30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28"/>
      <c r="C396" s="28"/>
      <c r="D396" s="28"/>
      <c r="E396" s="28"/>
      <c r="F396" s="30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28"/>
      <c r="C397" s="28"/>
      <c r="D397" s="28"/>
      <c r="E397" s="28"/>
      <c r="F397" s="30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28"/>
      <c r="C398" s="28"/>
      <c r="D398" s="28"/>
      <c r="E398" s="28"/>
      <c r="F398" s="30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28"/>
      <c r="C399" s="28"/>
      <c r="D399" s="28"/>
      <c r="E399" s="28"/>
      <c r="F399" s="30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28"/>
      <c r="C400" s="28"/>
      <c r="D400" s="28"/>
      <c r="E400" s="28"/>
      <c r="F400" s="30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28"/>
      <c r="C401" s="28"/>
      <c r="D401" s="28"/>
      <c r="E401" s="28"/>
      <c r="F401" s="30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28"/>
      <c r="C402" s="28"/>
      <c r="D402" s="28"/>
      <c r="E402" s="28"/>
      <c r="F402" s="30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28"/>
      <c r="C403" s="28"/>
      <c r="D403" s="28"/>
      <c r="E403" s="28"/>
      <c r="F403" s="30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28"/>
      <c r="C404" s="28"/>
      <c r="D404" s="28"/>
      <c r="E404" s="28"/>
      <c r="F404" s="30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28"/>
      <c r="C405" s="28"/>
      <c r="D405" s="28"/>
      <c r="E405" s="28"/>
      <c r="F405" s="30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28"/>
      <c r="C406" s="28"/>
      <c r="D406" s="28"/>
      <c r="E406" s="28"/>
      <c r="F406" s="30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28"/>
      <c r="C407" s="28"/>
      <c r="D407" s="28"/>
      <c r="E407" s="28"/>
      <c r="F407" s="30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28"/>
      <c r="C408" s="28"/>
      <c r="D408" s="28"/>
      <c r="E408" s="28"/>
      <c r="F408" s="30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28"/>
      <c r="C409" s="28"/>
      <c r="D409" s="28"/>
      <c r="E409" s="28"/>
      <c r="F409" s="30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28"/>
      <c r="C410" s="28"/>
      <c r="D410" s="28"/>
      <c r="E410" s="28"/>
      <c r="F410" s="30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28"/>
      <c r="C411" s="28"/>
      <c r="D411" s="28"/>
      <c r="E411" s="28"/>
      <c r="F411" s="30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28"/>
      <c r="C412" s="28"/>
      <c r="D412" s="28"/>
      <c r="E412" s="28"/>
      <c r="F412" s="30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28"/>
      <c r="C413" s="28"/>
      <c r="D413" s="28"/>
      <c r="E413" s="28"/>
      <c r="F413" s="30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28"/>
      <c r="C414" s="28"/>
      <c r="D414" s="28"/>
      <c r="E414" s="28"/>
      <c r="F414" s="30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28"/>
      <c r="C415" s="28"/>
      <c r="D415" s="28"/>
      <c r="E415" s="28"/>
      <c r="F415" s="30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28"/>
      <c r="C416" s="28"/>
      <c r="D416" s="28"/>
      <c r="E416" s="28"/>
      <c r="F416" s="30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28"/>
      <c r="C417" s="28"/>
      <c r="D417" s="28"/>
      <c r="E417" s="28"/>
      <c r="F417" s="30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28"/>
      <c r="C418" s="28"/>
      <c r="D418" s="28"/>
      <c r="E418" s="28"/>
      <c r="F418" s="30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28"/>
      <c r="C419" s="28"/>
      <c r="D419" s="28"/>
      <c r="E419" s="28"/>
      <c r="F419" s="30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28"/>
      <c r="C420" s="28"/>
      <c r="D420" s="28"/>
      <c r="E420" s="28"/>
      <c r="F420" s="30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28"/>
      <c r="C421" s="28"/>
      <c r="D421" s="28"/>
      <c r="E421" s="28"/>
      <c r="F421" s="30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28"/>
      <c r="C422" s="28"/>
      <c r="D422" s="28"/>
      <c r="E422" s="28"/>
      <c r="F422" s="30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28"/>
      <c r="C423" s="28"/>
      <c r="D423" s="28"/>
      <c r="E423" s="28"/>
      <c r="F423" s="30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28"/>
      <c r="C424" s="28"/>
      <c r="D424" s="28"/>
      <c r="E424" s="28"/>
      <c r="F424" s="30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28"/>
      <c r="C425" s="28"/>
      <c r="D425" s="28"/>
      <c r="E425" s="28"/>
      <c r="F425" s="30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28"/>
      <c r="C426" s="28"/>
      <c r="D426" s="28"/>
      <c r="E426" s="28"/>
      <c r="F426" s="30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28"/>
      <c r="C427" s="28"/>
      <c r="D427" s="28"/>
      <c r="E427" s="28"/>
      <c r="F427" s="30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28"/>
      <c r="C428" s="28"/>
      <c r="D428" s="28"/>
      <c r="E428" s="28"/>
      <c r="F428" s="30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28"/>
      <c r="C429" s="28"/>
      <c r="D429" s="28"/>
      <c r="E429" s="28"/>
      <c r="F429" s="30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28"/>
      <c r="C430" s="28"/>
      <c r="D430" s="28"/>
      <c r="E430" s="28"/>
      <c r="F430" s="30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28"/>
      <c r="C431" s="28"/>
      <c r="D431" s="28"/>
      <c r="E431" s="28"/>
      <c r="F431" s="30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28"/>
      <c r="C432" s="28"/>
      <c r="D432" s="28"/>
      <c r="E432" s="28"/>
      <c r="F432" s="30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28"/>
      <c r="C433" s="28"/>
      <c r="D433" s="28"/>
      <c r="E433" s="28"/>
      <c r="F433" s="30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28"/>
      <c r="C434" s="28"/>
      <c r="D434" s="28"/>
      <c r="E434" s="28"/>
      <c r="F434" s="30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28"/>
      <c r="C435" s="28"/>
      <c r="D435" s="28"/>
      <c r="E435" s="28"/>
      <c r="F435" s="30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28"/>
      <c r="C436" s="28"/>
      <c r="D436" s="28"/>
      <c r="E436" s="28"/>
      <c r="F436" s="30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28"/>
      <c r="C437" s="28"/>
      <c r="D437" s="28"/>
      <c r="E437" s="28"/>
      <c r="F437" s="30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28"/>
      <c r="C438" s="28"/>
      <c r="D438" s="28"/>
      <c r="E438" s="28"/>
      <c r="F438" s="30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28"/>
      <c r="C439" s="28"/>
      <c r="D439" s="28"/>
      <c r="E439" s="28"/>
      <c r="F439" s="30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28"/>
      <c r="C440" s="28"/>
      <c r="D440" s="28"/>
      <c r="E440" s="28"/>
      <c r="F440" s="30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28"/>
      <c r="C441" s="28"/>
      <c r="D441" s="28"/>
      <c r="E441" s="28"/>
      <c r="F441" s="30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28"/>
      <c r="C442" s="28"/>
      <c r="D442" s="28"/>
      <c r="E442" s="28"/>
      <c r="F442" s="30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28"/>
      <c r="C443" s="28"/>
      <c r="D443" s="28"/>
      <c r="E443" s="28"/>
      <c r="F443" s="30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28"/>
      <c r="C444" s="28"/>
      <c r="D444" s="28"/>
      <c r="E444" s="28"/>
      <c r="F444" s="30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28"/>
      <c r="C445" s="28"/>
      <c r="D445" s="28"/>
      <c r="E445" s="28"/>
      <c r="F445" s="30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28"/>
      <c r="C446" s="28"/>
      <c r="D446" s="28"/>
      <c r="E446" s="28"/>
      <c r="F446" s="30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28"/>
      <c r="C447" s="28"/>
      <c r="D447" s="28"/>
      <c r="E447" s="28"/>
      <c r="F447" s="30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28"/>
      <c r="C448" s="28"/>
      <c r="D448" s="28"/>
      <c r="E448" s="28"/>
      <c r="F448" s="30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28"/>
      <c r="C449" s="28"/>
      <c r="D449" s="28"/>
      <c r="E449" s="28"/>
      <c r="F449" s="30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28"/>
      <c r="C450" s="28"/>
      <c r="D450" s="28"/>
      <c r="E450" s="28"/>
      <c r="F450" s="30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28"/>
      <c r="C451" s="28"/>
      <c r="D451" s="28"/>
      <c r="E451" s="28"/>
      <c r="F451" s="30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28"/>
      <c r="C452" s="28"/>
      <c r="D452" s="28"/>
      <c r="E452" s="28"/>
      <c r="F452" s="30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28"/>
      <c r="C453" s="28"/>
      <c r="D453" s="28"/>
      <c r="E453" s="28"/>
      <c r="F453" s="30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28"/>
      <c r="C454" s="28"/>
      <c r="D454" s="28"/>
      <c r="E454" s="28"/>
      <c r="F454" s="30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28"/>
      <c r="C455" s="28"/>
      <c r="D455" s="28"/>
      <c r="E455" s="28"/>
      <c r="F455" s="30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28"/>
      <c r="C456" s="28"/>
      <c r="D456" s="28"/>
      <c r="E456" s="28"/>
      <c r="F456" s="30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28"/>
      <c r="C457" s="28"/>
      <c r="D457" s="28"/>
      <c r="E457" s="28"/>
      <c r="F457" s="30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28"/>
      <c r="C458" s="28"/>
      <c r="D458" s="28"/>
      <c r="E458" s="28"/>
      <c r="F458" s="30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28"/>
      <c r="C459" s="28"/>
      <c r="D459" s="28"/>
      <c r="E459" s="28"/>
      <c r="F459" s="30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28"/>
      <c r="C460" s="28"/>
      <c r="D460" s="28"/>
      <c r="E460" s="28"/>
      <c r="F460" s="30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28"/>
      <c r="C461" s="28"/>
      <c r="D461" s="28"/>
      <c r="E461" s="28"/>
      <c r="F461" s="30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28"/>
      <c r="C462" s="28"/>
      <c r="D462" s="28"/>
      <c r="E462" s="28"/>
      <c r="F462" s="30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28"/>
      <c r="C463" s="28"/>
      <c r="D463" s="28"/>
      <c r="E463" s="28"/>
      <c r="F463" s="30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28"/>
      <c r="C464" s="28"/>
      <c r="D464" s="28"/>
      <c r="E464" s="28"/>
      <c r="F464" s="30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28"/>
      <c r="C465" s="28"/>
      <c r="D465" s="28"/>
      <c r="E465" s="28"/>
      <c r="F465" s="30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28"/>
      <c r="C466" s="28"/>
      <c r="D466" s="28"/>
      <c r="E466" s="28"/>
      <c r="F466" s="30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28"/>
      <c r="C467" s="28"/>
      <c r="D467" s="28"/>
      <c r="E467" s="28"/>
      <c r="F467" s="30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28"/>
      <c r="C468" s="28"/>
      <c r="D468" s="28"/>
      <c r="E468" s="28"/>
      <c r="F468" s="30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28"/>
      <c r="C469" s="28"/>
      <c r="D469" s="28"/>
      <c r="E469" s="28"/>
      <c r="F469" s="30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28"/>
      <c r="C470" s="28"/>
      <c r="D470" s="28"/>
      <c r="E470" s="28"/>
      <c r="F470" s="30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28"/>
      <c r="C471" s="28"/>
      <c r="D471" s="28"/>
      <c r="E471" s="28"/>
      <c r="F471" s="30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28"/>
      <c r="C472" s="28"/>
      <c r="D472" s="28"/>
      <c r="E472" s="28"/>
      <c r="F472" s="30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28"/>
      <c r="C473" s="28"/>
      <c r="D473" s="28"/>
      <c r="E473" s="28"/>
      <c r="F473" s="30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28"/>
      <c r="C474" s="28"/>
      <c r="D474" s="28"/>
      <c r="E474" s="28"/>
      <c r="F474" s="30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28"/>
      <c r="C475" s="28"/>
      <c r="D475" s="28"/>
      <c r="E475" s="28"/>
      <c r="F475" s="30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28"/>
      <c r="C476" s="28"/>
      <c r="D476" s="28"/>
      <c r="E476" s="28"/>
      <c r="F476" s="30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28"/>
      <c r="C477" s="28"/>
      <c r="D477" s="28"/>
      <c r="E477" s="28"/>
      <c r="F477" s="30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28"/>
      <c r="C478" s="28"/>
      <c r="D478" s="28"/>
      <c r="E478" s="28"/>
      <c r="F478" s="30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28"/>
      <c r="C479" s="28"/>
      <c r="D479" s="28"/>
      <c r="E479" s="28"/>
      <c r="F479" s="30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28"/>
      <c r="C480" s="28"/>
      <c r="D480" s="28"/>
      <c r="E480" s="28"/>
      <c r="F480" s="30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28"/>
      <c r="C481" s="28"/>
      <c r="D481" s="28"/>
      <c r="E481" s="28"/>
      <c r="F481" s="30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28"/>
      <c r="C482" s="28"/>
      <c r="D482" s="28"/>
      <c r="E482" s="28"/>
      <c r="F482" s="30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28"/>
      <c r="C483" s="28"/>
      <c r="D483" s="28"/>
      <c r="E483" s="28"/>
      <c r="F483" s="30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28"/>
      <c r="C484" s="28"/>
      <c r="D484" s="28"/>
      <c r="E484" s="28"/>
      <c r="F484" s="30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28"/>
      <c r="C485" s="28"/>
      <c r="D485" s="28"/>
      <c r="E485" s="28"/>
      <c r="F485" s="30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28"/>
      <c r="C486" s="28"/>
      <c r="D486" s="28"/>
      <c r="E486" s="28"/>
      <c r="F486" s="30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28"/>
      <c r="C487" s="28"/>
      <c r="D487" s="28"/>
      <c r="E487" s="28"/>
      <c r="F487" s="30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28"/>
      <c r="C488" s="28"/>
      <c r="D488" s="28"/>
      <c r="E488" s="28"/>
      <c r="F488" s="30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28"/>
      <c r="C489" s="28"/>
      <c r="D489" s="28"/>
      <c r="E489" s="28"/>
      <c r="F489" s="30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28"/>
      <c r="C490" s="28"/>
      <c r="D490" s="28"/>
      <c r="E490" s="28"/>
      <c r="F490" s="30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28"/>
      <c r="C491" s="28"/>
      <c r="D491" s="28"/>
      <c r="E491" s="28"/>
      <c r="F491" s="30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28"/>
      <c r="C492" s="28"/>
      <c r="D492" s="28"/>
      <c r="E492" s="28"/>
      <c r="F492" s="30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28"/>
      <c r="C493" s="28"/>
      <c r="D493" s="28"/>
      <c r="E493" s="28"/>
      <c r="F493" s="30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28"/>
      <c r="C494" s="28"/>
      <c r="D494" s="28"/>
      <c r="E494" s="28"/>
      <c r="F494" s="30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28"/>
      <c r="C495" s="28"/>
      <c r="D495" s="28"/>
      <c r="E495" s="28"/>
      <c r="F495" s="30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28"/>
      <c r="C496" s="28"/>
      <c r="D496" s="28"/>
      <c r="E496" s="28"/>
      <c r="F496" s="30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28"/>
      <c r="C497" s="28"/>
      <c r="D497" s="28"/>
      <c r="E497" s="28"/>
      <c r="F497" s="30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28"/>
      <c r="C498" s="28"/>
      <c r="D498" s="28"/>
      <c r="E498" s="28"/>
      <c r="F498" s="30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28"/>
      <c r="C499" s="28"/>
      <c r="D499" s="28"/>
      <c r="E499" s="28"/>
      <c r="F499" s="30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28"/>
      <c r="C500" s="28"/>
      <c r="D500" s="28"/>
      <c r="E500" s="28"/>
      <c r="F500" s="30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28"/>
      <c r="C501" s="28"/>
      <c r="D501" s="28"/>
      <c r="E501" s="28"/>
      <c r="F501" s="30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28"/>
      <c r="C502" s="28"/>
      <c r="D502" s="28"/>
      <c r="E502" s="28"/>
      <c r="F502" s="30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28"/>
      <c r="C503" s="28"/>
      <c r="D503" s="28"/>
      <c r="E503" s="28"/>
      <c r="F503" s="30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28"/>
      <c r="C504" s="28"/>
      <c r="D504" s="28"/>
      <c r="E504" s="28"/>
      <c r="F504" s="30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28"/>
      <c r="C505" s="28"/>
      <c r="D505" s="28"/>
      <c r="E505" s="28"/>
      <c r="F505" s="30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28"/>
      <c r="C506" s="28"/>
      <c r="D506" s="28"/>
      <c r="E506" s="28"/>
      <c r="F506" s="30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28"/>
      <c r="C507" s="28"/>
      <c r="D507" s="28"/>
      <c r="E507" s="28"/>
      <c r="F507" s="30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28"/>
      <c r="C508" s="28"/>
      <c r="D508" s="28"/>
      <c r="E508" s="28"/>
      <c r="F508" s="30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28"/>
      <c r="C509" s="28"/>
      <c r="D509" s="28"/>
      <c r="E509" s="28"/>
      <c r="F509" s="30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28"/>
      <c r="C510" s="28"/>
      <c r="D510" s="28"/>
      <c r="E510" s="28"/>
      <c r="F510" s="30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28"/>
      <c r="C511" s="28"/>
      <c r="D511" s="28"/>
      <c r="E511" s="28"/>
      <c r="F511" s="30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28"/>
      <c r="C512" s="28"/>
      <c r="D512" s="28"/>
      <c r="E512" s="28"/>
      <c r="F512" s="30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28"/>
      <c r="C513" s="28"/>
      <c r="D513" s="28"/>
      <c r="E513" s="28"/>
      <c r="F513" s="30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28"/>
      <c r="C514" s="28"/>
      <c r="D514" s="28"/>
      <c r="E514" s="28"/>
      <c r="F514" s="30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28"/>
      <c r="C515" s="28"/>
      <c r="D515" s="28"/>
      <c r="E515" s="28"/>
      <c r="F515" s="30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28"/>
      <c r="C516" s="28"/>
      <c r="D516" s="28"/>
      <c r="E516" s="28"/>
      <c r="F516" s="30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28"/>
      <c r="C517" s="28"/>
      <c r="D517" s="28"/>
      <c r="E517" s="28"/>
      <c r="F517" s="30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28"/>
      <c r="C518" s="28"/>
      <c r="D518" s="28"/>
      <c r="E518" s="28"/>
      <c r="F518" s="30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28"/>
      <c r="C519" s="28"/>
      <c r="D519" s="28"/>
      <c r="E519" s="28"/>
      <c r="F519" s="30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28"/>
      <c r="C520" s="28"/>
      <c r="D520" s="28"/>
      <c r="E520" s="28"/>
      <c r="F520" s="30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28"/>
      <c r="C521" s="28"/>
      <c r="D521" s="28"/>
      <c r="E521" s="28"/>
      <c r="F521" s="30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28"/>
      <c r="C522" s="28"/>
      <c r="D522" s="28"/>
      <c r="E522" s="28"/>
      <c r="F522" s="30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28"/>
      <c r="C523" s="28"/>
      <c r="D523" s="28"/>
      <c r="E523" s="28"/>
      <c r="F523" s="30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28"/>
      <c r="C524" s="28"/>
      <c r="D524" s="28"/>
      <c r="E524" s="28"/>
      <c r="F524" s="30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28"/>
      <c r="C525" s="28"/>
      <c r="D525" s="28"/>
      <c r="E525" s="28"/>
      <c r="F525" s="30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28"/>
      <c r="C526" s="28"/>
      <c r="D526" s="28"/>
      <c r="E526" s="28"/>
      <c r="F526" s="30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28"/>
      <c r="C527" s="28"/>
      <c r="D527" s="28"/>
      <c r="E527" s="28"/>
      <c r="F527" s="30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28"/>
      <c r="C528" s="28"/>
      <c r="D528" s="28"/>
      <c r="E528" s="28"/>
      <c r="F528" s="30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28"/>
      <c r="C529" s="28"/>
      <c r="D529" s="28"/>
      <c r="E529" s="28"/>
      <c r="F529" s="30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28"/>
      <c r="C530" s="28"/>
      <c r="D530" s="28"/>
      <c r="E530" s="28"/>
      <c r="F530" s="30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28"/>
      <c r="C531" s="28"/>
      <c r="D531" s="28"/>
      <c r="E531" s="28"/>
      <c r="F531" s="30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28"/>
      <c r="C532" s="28"/>
      <c r="D532" s="28"/>
      <c r="E532" s="28"/>
      <c r="F532" s="30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28"/>
      <c r="C533" s="28"/>
      <c r="D533" s="28"/>
      <c r="E533" s="28"/>
      <c r="F533" s="30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28"/>
      <c r="C534" s="28"/>
      <c r="D534" s="28"/>
      <c r="E534" s="28"/>
      <c r="F534" s="30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28"/>
      <c r="C535" s="28"/>
      <c r="D535" s="28"/>
      <c r="E535" s="28"/>
      <c r="F535" s="30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28"/>
      <c r="C536" s="28"/>
      <c r="D536" s="28"/>
      <c r="E536" s="28"/>
      <c r="F536" s="30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28"/>
      <c r="C537" s="28"/>
      <c r="D537" s="28"/>
      <c r="E537" s="28"/>
      <c r="F537" s="30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28"/>
      <c r="C538" s="28"/>
      <c r="D538" s="28"/>
      <c r="E538" s="28"/>
      <c r="F538" s="30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28"/>
      <c r="C539" s="28"/>
      <c r="D539" s="28"/>
      <c r="E539" s="28"/>
      <c r="F539" s="30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28"/>
      <c r="C540" s="28"/>
      <c r="D540" s="28"/>
      <c r="E540" s="28"/>
      <c r="F540" s="30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28"/>
      <c r="C541" s="28"/>
      <c r="D541" s="28"/>
      <c r="E541" s="28"/>
      <c r="F541" s="30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28"/>
      <c r="C542" s="28"/>
      <c r="D542" s="28"/>
      <c r="E542" s="28"/>
      <c r="F542" s="30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28"/>
      <c r="C543" s="28"/>
      <c r="D543" s="28"/>
      <c r="E543" s="28"/>
      <c r="F543" s="30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28"/>
      <c r="C544" s="28"/>
      <c r="D544" s="28"/>
      <c r="E544" s="28"/>
      <c r="F544" s="30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28"/>
      <c r="C545" s="28"/>
      <c r="D545" s="28"/>
      <c r="E545" s="28"/>
      <c r="F545" s="30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28"/>
      <c r="C546" s="28"/>
      <c r="D546" s="28"/>
      <c r="E546" s="28"/>
      <c r="F546" s="30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28"/>
      <c r="C547" s="28"/>
      <c r="D547" s="28"/>
      <c r="E547" s="28"/>
      <c r="F547" s="30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28"/>
      <c r="C548" s="28"/>
      <c r="D548" s="28"/>
      <c r="E548" s="28"/>
      <c r="F548" s="30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28"/>
      <c r="C549" s="28"/>
      <c r="D549" s="28"/>
      <c r="E549" s="28"/>
      <c r="F549" s="30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28"/>
      <c r="C550" s="28"/>
      <c r="D550" s="28"/>
      <c r="E550" s="28"/>
      <c r="F550" s="30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28"/>
      <c r="C551" s="28"/>
      <c r="D551" s="28"/>
      <c r="E551" s="28"/>
      <c r="F551" s="30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28"/>
      <c r="C552" s="28"/>
      <c r="D552" s="28"/>
      <c r="E552" s="28"/>
      <c r="F552" s="30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28"/>
      <c r="C553" s="28"/>
      <c r="D553" s="28"/>
      <c r="E553" s="28"/>
      <c r="F553" s="30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28"/>
      <c r="C554" s="28"/>
      <c r="D554" s="28"/>
      <c r="E554" s="28"/>
      <c r="F554" s="30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28"/>
      <c r="C555" s="28"/>
      <c r="D555" s="28"/>
      <c r="E555" s="28"/>
      <c r="F555" s="30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28"/>
      <c r="C556" s="28"/>
      <c r="D556" s="28"/>
      <c r="E556" s="28"/>
      <c r="F556" s="30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28"/>
      <c r="C557" s="28"/>
      <c r="D557" s="28"/>
      <c r="E557" s="28"/>
      <c r="F557" s="30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28"/>
      <c r="C558" s="28"/>
      <c r="D558" s="28"/>
      <c r="E558" s="28"/>
      <c r="F558" s="30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28"/>
      <c r="C559" s="28"/>
      <c r="D559" s="28"/>
      <c r="E559" s="28"/>
      <c r="F559" s="30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28"/>
      <c r="C560" s="28"/>
      <c r="D560" s="28"/>
      <c r="E560" s="28"/>
      <c r="F560" s="30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28"/>
      <c r="C561" s="28"/>
      <c r="D561" s="28"/>
      <c r="E561" s="28"/>
      <c r="F561" s="30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28"/>
      <c r="C562" s="28"/>
      <c r="D562" s="28"/>
      <c r="E562" s="28"/>
      <c r="F562" s="30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28"/>
      <c r="C563" s="28"/>
      <c r="D563" s="28"/>
      <c r="E563" s="28"/>
      <c r="F563" s="30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28"/>
      <c r="C564" s="28"/>
      <c r="D564" s="28"/>
      <c r="E564" s="28"/>
      <c r="F564" s="30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28"/>
      <c r="C565" s="28"/>
      <c r="D565" s="28"/>
      <c r="E565" s="28"/>
      <c r="F565" s="30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28"/>
      <c r="C566" s="28"/>
      <c r="D566" s="28"/>
      <c r="E566" s="28"/>
      <c r="F566" s="30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28"/>
      <c r="C567" s="28"/>
      <c r="D567" s="28"/>
      <c r="E567" s="28"/>
      <c r="F567" s="30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28"/>
      <c r="C568" s="28"/>
      <c r="D568" s="28"/>
      <c r="E568" s="28"/>
      <c r="F568" s="30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28"/>
      <c r="C569" s="28"/>
      <c r="D569" s="28"/>
      <c r="E569" s="28"/>
      <c r="F569" s="30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28"/>
      <c r="C570" s="28"/>
      <c r="D570" s="28"/>
      <c r="E570" s="28"/>
      <c r="F570" s="30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28"/>
      <c r="C571" s="28"/>
      <c r="D571" s="28"/>
      <c r="E571" s="28"/>
      <c r="F571" s="30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28"/>
      <c r="C572" s="28"/>
      <c r="D572" s="28"/>
      <c r="E572" s="28"/>
      <c r="F572" s="30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28"/>
      <c r="C573" s="28"/>
      <c r="D573" s="28"/>
      <c r="E573" s="28"/>
      <c r="F573" s="30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28"/>
      <c r="C574" s="28"/>
      <c r="D574" s="28"/>
      <c r="E574" s="28"/>
      <c r="F574" s="30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28"/>
      <c r="C575" s="28"/>
      <c r="D575" s="28"/>
      <c r="E575" s="28"/>
      <c r="F575" s="30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28"/>
      <c r="C576" s="28"/>
      <c r="D576" s="28"/>
      <c r="E576" s="28"/>
      <c r="F576" s="30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28"/>
      <c r="C577" s="28"/>
      <c r="D577" s="28"/>
      <c r="E577" s="28"/>
      <c r="F577" s="30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28"/>
      <c r="C578" s="28"/>
      <c r="D578" s="28"/>
      <c r="E578" s="28"/>
      <c r="F578" s="30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28"/>
      <c r="C579" s="28"/>
      <c r="D579" s="28"/>
      <c r="E579" s="28"/>
      <c r="F579" s="30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28"/>
      <c r="C580" s="28"/>
      <c r="D580" s="28"/>
      <c r="E580" s="28"/>
      <c r="F580" s="30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28"/>
      <c r="C581" s="28"/>
      <c r="D581" s="28"/>
      <c r="E581" s="28"/>
      <c r="F581" s="30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28"/>
      <c r="C582" s="28"/>
      <c r="D582" s="28"/>
      <c r="E582" s="28"/>
      <c r="F582" s="30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28"/>
      <c r="C583" s="28"/>
      <c r="D583" s="28"/>
      <c r="E583" s="28"/>
      <c r="F583" s="30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28"/>
      <c r="C584" s="28"/>
      <c r="D584" s="28"/>
      <c r="E584" s="28"/>
      <c r="F584" s="30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28"/>
      <c r="C585" s="28"/>
      <c r="D585" s="28"/>
      <c r="E585" s="28"/>
      <c r="F585" s="30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28"/>
      <c r="C586" s="28"/>
      <c r="D586" s="28"/>
      <c r="E586" s="28"/>
      <c r="F586" s="30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28"/>
      <c r="C587" s="28"/>
      <c r="D587" s="28"/>
      <c r="E587" s="28"/>
      <c r="F587" s="30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28"/>
      <c r="C588" s="28"/>
      <c r="D588" s="28"/>
      <c r="E588" s="28"/>
      <c r="F588" s="30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28"/>
      <c r="C589" s="28"/>
      <c r="D589" s="28"/>
      <c r="E589" s="28"/>
      <c r="F589" s="30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28"/>
      <c r="C590" s="28"/>
      <c r="D590" s="28"/>
      <c r="E590" s="28"/>
      <c r="F590" s="30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28"/>
      <c r="C591" s="28"/>
      <c r="D591" s="28"/>
      <c r="E591" s="28"/>
      <c r="F591" s="30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28"/>
      <c r="C592" s="28"/>
      <c r="D592" s="28"/>
      <c r="E592" s="28"/>
      <c r="F592" s="30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28"/>
      <c r="C593" s="28"/>
      <c r="D593" s="28"/>
      <c r="E593" s="28"/>
      <c r="F593" s="30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28"/>
      <c r="C594" s="28"/>
      <c r="D594" s="28"/>
      <c r="E594" s="28"/>
      <c r="F594" s="30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28"/>
      <c r="C595" s="28"/>
      <c r="D595" s="28"/>
      <c r="E595" s="28"/>
      <c r="F595" s="30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28"/>
      <c r="C596" s="28"/>
      <c r="D596" s="28"/>
      <c r="E596" s="28"/>
      <c r="F596" s="30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28"/>
      <c r="C597" s="28"/>
      <c r="D597" s="28"/>
      <c r="E597" s="28"/>
      <c r="F597" s="30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28"/>
      <c r="C598" s="28"/>
      <c r="D598" s="28"/>
      <c r="E598" s="28"/>
      <c r="F598" s="30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28"/>
      <c r="C599" s="28"/>
      <c r="D599" s="28"/>
      <c r="E599" s="28"/>
      <c r="F599" s="30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28"/>
      <c r="C600" s="28"/>
      <c r="D600" s="28"/>
      <c r="E600" s="28"/>
      <c r="F600" s="30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28"/>
      <c r="C601" s="28"/>
      <c r="D601" s="28"/>
      <c r="E601" s="28"/>
      <c r="F601" s="30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28"/>
      <c r="C602" s="28"/>
      <c r="D602" s="28"/>
      <c r="E602" s="28"/>
      <c r="F602" s="30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28"/>
      <c r="C603" s="28"/>
      <c r="D603" s="28"/>
      <c r="E603" s="28"/>
      <c r="F603" s="30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28"/>
      <c r="C604" s="28"/>
      <c r="D604" s="28"/>
      <c r="E604" s="28"/>
      <c r="F604" s="30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28"/>
      <c r="C605" s="28"/>
      <c r="D605" s="28"/>
      <c r="E605" s="28"/>
      <c r="F605" s="30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28"/>
      <c r="C606" s="28"/>
      <c r="D606" s="28"/>
      <c r="E606" s="28"/>
      <c r="F606" s="30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28"/>
      <c r="C607" s="28"/>
      <c r="D607" s="28"/>
      <c r="E607" s="28"/>
      <c r="F607" s="30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28"/>
      <c r="C608" s="28"/>
      <c r="D608" s="28"/>
      <c r="E608" s="28"/>
      <c r="F608" s="30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28"/>
      <c r="C609" s="28"/>
      <c r="D609" s="28"/>
      <c r="E609" s="28"/>
      <c r="F609" s="30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28"/>
      <c r="C610" s="28"/>
      <c r="D610" s="28"/>
      <c r="E610" s="28"/>
      <c r="F610" s="30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28"/>
      <c r="C611" s="28"/>
      <c r="D611" s="28"/>
      <c r="E611" s="28"/>
      <c r="F611" s="30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28"/>
      <c r="C612" s="28"/>
      <c r="D612" s="28"/>
      <c r="E612" s="28"/>
      <c r="F612" s="30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28"/>
      <c r="C613" s="28"/>
      <c r="D613" s="28"/>
      <c r="E613" s="28"/>
      <c r="F613" s="30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28"/>
      <c r="C614" s="28"/>
      <c r="D614" s="28"/>
      <c r="E614" s="28"/>
      <c r="F614" s="30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28"/>
      <c r="C615" s="28"/>
      <c r="D615" s="28"/>
      <c r="E615" s="28"/>
      <c r="F615" s="30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28"/>
      <c r="C616" s="28"/>
      <c r="D616" s="28"/>
      <c r="E616" s="28"/>
      <c r="F616" s="30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28"/>
      <c r="C617" s="28"/>
      <c r="D617" s="28"/>
      <c r="E617" s="28"/>
      <c r="F617" s="30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28"/>
      <c r="C618" s="28"/>
      <c r="D618" s="28"/>
      <c r="E618" s="28"/>
      <c r="F618" s="30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28"/>
      <c r="C619" s="28"/>
      <c r="D619" s="28"/>
      <c r="E619" s="28"/>
      <c r="F619" s="30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28"/>
      <c r="C620" s="28"/>
      <c r="D620" s="28"/>
      <c r="E620" s="28"/>
      <c r="F620" s="30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28"/>
      <c r="C621" s="28"/>
      <c r="D621" s="28"/>
      <c r="E621" s="28"/>
      <c r="F621" s="30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28"/>
      <c r="C622" s="28"/>
      <c r="D622" s="28"/>
      <c r="E622" s="28"/>
      <c r="F622" s="30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28"/>
      <c r="C623" s="28"/>
      <c r="D623" s="28"/>
      <c r="E623" s="28"/>
      <c r="F623" s="30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28"/>
      <c r="C624" s="28"/>
      <c r="D624" s="28"/>
      <c r="E624" s="28"/>
      <c r="F624" s="30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28"/>
      <c r="C625" s="28"/>
      <c r="D625" s="28"/>
      <c r="E625" s="28"/>
      <c r="F625" s="30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28"/>
      <c r="C626" s="28"/>
      <c r="D626" s="28"/>
      <c r="E626" s="28"/>
      <c r="F626" s="30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28"/>
      <c r="C627" s="28"/>
      <c r="D627" s="28"/>
      <c r="E627" s="28"/>
      <c r="F627" s="30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28"/>
      <c r="C628" s="28"/>
      <c r="D628" s="28"/>
      <c r="E628" s="28"/>
      <c r="F628" s="30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28"/>
      <c r="C629" s="28"/>
      <c r="D629" s="28"/>
      <c r="E629" s="28"/>
      <c r="F629" s="30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28"/>
      <c r="C630" s="28"/>
      <c r="D630" s="28"/>
      <c r="E630" s="28"/>
      <c r="F630" s="30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28"/>
      <c r="C631" s="28"/>
      <c r="D631" s="28"/>
      <c r="E631" s="28"/>
      <c r="F631" s="30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28"/>
      <c r="C632" s="28"/>
      <c r="D632" s="28"/>
      <c r="E632" s="28"/>
      <c r="F632" s="30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28"/>
      <c r="C633" s="28"/>
      <c r="D633" s="28"/>
      <c r="E633" s="28"/>
      <c r="F633" s="30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28"/>
      <c r="C634" s="28"/>
      <c r="D634" s="28"/>
      <c r="E634" s="28"/>
      <c r="F634" s="30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28"/>
      <c r="C635" s="28"/>
      <c r="D635" s="28"/>
      <c r="E635" s="28"/>
      <c r="F635" s="30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28"/>
      <c r="C636" s="28"/>
      <c r="D636" s="28"/>
      <c r="E636" s="28"/>
      <c r="F636" s="30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28"/>
      <c r="C637" s="28"/>
      <c r="D637" s="28"/>
      <c r="E637" s="28"/>
      <c r="F637" s="30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28"/>
      <c r="C638" s="28"/>
      <c r="D638" s="28"/>
      <c r="E638" s="28"/>
      <c r="F638" s="30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28"/>
      <c r="C639" s="28"/>
      <c r="D639" s="28"/>
      <c r="E639" s="28"/>
      <c r="F639" s="30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28"/>
      <c r="C640" s="28"/>
      <c r="D640" s="28"/>
      <c r="E640" s="28"/>
      <c r="F640" s="30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28"/>
      <c r="C641" s="28"/>
      <c r="D641" s="28"/>
      <c r="E641" s="28"/>
      <c r="F641" s="30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28"/>
      <c r="C642" s="28"/>
      <c r="D642" s="28"/>
      <c r="E642" s="28"/>
      <c r="F642" s="30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28"/>
      <c r="C643" s="28"/>
      <c r="D643" s="28"/>
      <c r="E643" s="28"/>
      <c r="F643" s="30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28"/>
      <c r="C644" s="28"/>
      <c r="D644" s="28"/>
      <c r="E644" s="28"/>
      <c r="F644" s="30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28"/>
      <c r="C645" s="28"/>
      <c r="D645" s="28"/>
      <c r="E645" s="28"/>
      <c r="F645" s="30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28"/>
      <c r="C646" s="28"/>
      <c r="D646" s="28"/>
      <c r="E646" s="28"/>
      <c r="F646" s="30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28"/>
      <c r="C647" s="28"/>
      <c r="D647" s="28"/>
      <c r="E647" s="28"/>
      <c r="F647" s="30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28"/>
      <c r="C648" s="28"/>
      <c r="D648" s="28"/>
      <c r="E648" s="28"/>
      <c r="F648" s="30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28"/>
      <c r="C649" s="28"/>
      <c r="D649" s="28"/>
      <c r="E649" s="28"/>
      <c r="F649" s="30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28"/>
      <c r="C650" s="28"/>
      <c r="D650" s="28"/>
      <c r="E650" s="28"/>
      <c r="F650" s="30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28"/>
      <c r="C651" s="28"/>
      <c r="D651" s="28"/>
      <c r="E651" s="28"/>
      <c r="F651" s="30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28"/>
      <c r="C652" s="28"/>
      <c r="D652" s="28"/>
      <c r="E652" s="28"/>
      <c r="F652" s="30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28"/>
      <c r="C653" s="28"/>
      <c r="D653" s="28"/>
      <c r="E653" s="28"/>
      <c r="F653" s="30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28"/>
      <c r="C654" s="28"/>
      <c r="D654" s="28"/>
      <c r="E654" s="28"/>
      <c r="F654" s="30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28"/>
      <c r="C655" s="28"/>
      <c r="D655" s="28"/>
      <c r="E655" s="28"/>
      <c r="F655" s="30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28"/>
      <c r="C656" s="28"/>
      <c r="D656" s="28"/>
      <c r="E656" s="28"/>
      <c r="F656" s="30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28"/>
      <c r="C657" s="28"/>
      <c r="D657" s="28"/>
      <c r="E657" s="28"/>
      <c r="F657" s="30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28"/>
      <c r="C658" s="28"/>
      <c r="D658" s="28"/>
      <c r="E658" s="28"/>
      <c r="F658" s="30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28"/>
      <c r="C659" s="28"/>
      <c r="D659" s="28"/>
      <c r="E659" s="28"/>
      <c r="F659" s="30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28"/>
      <c r="C660" s="28"/>
      <c r="D660" s="28"/>
      <c r="E660" s="28"/>
      <c r="F660" s="30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28"/>
      <c r="C661" s="28"/>
      <c r="D661" s="28"/>
      <c r="E661" s="28"/>
      <c r="F661" s="30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28"/>
      <c r="C662" s="28"/>
      <c r="D662" s="28"/>
      <c r="E662" s="28"/>
      <c r="F662" s="30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28"/>
      <c r="C663" s="28"/>
      <c r="D663" s="28"/>
      <c r="E663" s="28"/>
      <c r="F663" s="30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28"/>
      <c r="C664" s="28"/>
      <c r="D664" s="28"/>
      <c r="E664" s="28"/>
      <c r="F664" s="30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28"/>
      <c r="C665" s="28"/>
      <c r="D665" s="28"/>
      <c r="E665" s="28"/>
      <c r="F665" s="30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28"/>
      <c r="C666" s="28"/>
      <c r="D666" s="28"/>
      <c r="E666" s="28"/>
      <c r="F666" s="30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28"/>
      <c r="C667" s="28"/>
      <c r="D667" s="28"/>
      <c r="E667" s="28"/>
      <c r="F667" s="30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28"/>
      <c r="C668" s="28"/>
      <c r="D668" s="28"/>
      <c r="E668" s="28"/>
      <c r="F668" s="30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28"/>
      <c r="C669" s="28"/>
      <c r="D669" s="28"/>
      <c r="E669" s="28"/>
      <c r="F669" s="30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28"/>
      <c r="C670" s="28"/>
      <c r="D670" s="28"/>
      <c r="E670" s="28"/>
      <c r="F670" s="30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28"/>
      <c r="C671" s="28"/>
      <c r="D671" s="28"/>
      <c r="E671" s="28"/>
      <c r="F671" s="30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28"/>
      <c r="C672" s="28"/>
      <c r="D672" s="28"/>
      <c r="E672" s="28"/>
      <c r="F672" s="30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28"/>
      <c r="C673" s="28"/>
      <c r="D673" s="28"/>
      <c r="E673" s="28"/>
      <c r="F673" s="30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28"/>
      <c r="C674" s="28"/>
      <c r="D674" s="28"/>
      <c r="E674" s="28"/>
      <c r="F674" s="30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28"/>
      <c r="C675" s="28"/>
      <c r="D675" s="28"/>
      <c r="E675" s="28"/>
      <c r="F675" s="30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28"/>
      <c r="C676" s="28"/>
      <c r="D676" s="28"/>
      <c r="E676" s="28"/>
      <c r="F676" s="30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28"/>
      <c r="C677" s="28"/>
      <c r="D677" s="28"/>
      <c r="E677" s="28"/>
      <c r="F677" s="30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28"/>
      <c r="C678" s="28"/>
      <c r="D678" s="28"/>
      <c r="E678" s="28"/>
      <c r="F678" s="30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28"/>
      <c r="C679" s="28"/>
      <c r="D679" s="28"/>
      <c r="E679" s="28"/>
      <c r="F679" s="30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28"/>
      <c r="C680" s="28"/>
      <c r="D680" s="28"/>
      <c r="E680" s="28"/>
      <c r="F680" s="30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28"/>
      <c r="C681" s="28"/>
      <c r="D681" s="28"/>
      <c r="E681" s="28"/>
      <c r="F681" s="30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28"/>
      <c r="C682" s="28"/>
      <c r="D682" s="28"/>
      <c r="E682" s="28"/>
      <c r="F682" s="30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28"/>
      <c r="C683" s="28"/>
      <c r="D683" s="28"/>
      <c r="E683" s="28"/>
      <c r="F683" s="30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28"/>
      <c r="C684" s="28"/>
      <c r="D684" s="28"/>
      <c r="E684" s="28"/>
      <c r="F684" s="30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28"/>
      <c r="C685" s="28"/>
      <c r="D685" s="28"/>
      <c r="E685" s="28"/>
      <c r="F685" s="30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28"/>
      <c r="C686" s="28"/>
      <c r="D686" s="28"/>
      <c r="E686" s="28"/>
      <c r="F686" s="30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28"/>
      <c r="C687" s="28"/>
      <c r="D687" s="28"/>
      <c r="E687" s="28"/>
      <c r="F687" s="30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28"/>
      <c r="C688" s="28"/>
      <c r="D688" s="28"/>
      <c r="E688" s="28"/>
      <c r="F688" s="30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28"/>
      <c r="C689" s="28"/>
      <c r="D689" s="28"/>
      <c r="E689" s="28"/>
      <c r="F689" s="30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28"/>
      <c r="C690" s="28"/>
      <c r="D690" s="28"/>
      <c r="E690" s="28"/>
      <c r="F690" s="30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28"/>
      <c r="C691" s="28"/>
      <c r="D691" s="28"/>
      <c r="E691" s="28"/>
      <c r="F691" s="30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28"/>
      <c r="C692" s="28"/>
      <c r="D692" s="28"/>
      <c r="E692" s="28"/>
      <c r="F692" s="30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28"/>
      <c r="C693" s="28"/>
      <c r="D693" s="28"/>
      <c r="E693" s="28"/>
      <c r="F693" s="30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28"/>
      <c r="C694" s="28"/>
      <c r="D694" s="28"/>
      <c r="E694" s="28"/>
      <c r="F694" s="30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28"/>
      <c r="C695" s="28"/>
      <c r="D695" s="28"/>
      <c r="E695" s="28"/>
      <c r="F695" s="30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28"/>
      <c r="C696" s="28"/>
      <c r="D696" s="28"/>
      <c r="E696" s="28"/>
      <c r="F696" s="30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28"/>
      <c r="C697" s="28"/>
      <c r="D697" s="28"/>
      <c r="E697" s="28"/>
      <c r="F697" s="30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28"/>
      <c r="C698" s="28"/>
      <c r="D698" s="28"/>
      <c r="E698" s="28"/>
      <c r="F698" s="30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28"/>
      <c r="C699" s="28"/>
      <c r="D699" s="28"/>
      <c r="E699" s="28"/>
      <c r="F699" s="30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28"/>
      <c r="C700" s="28"/>
      <c r="D700" s="28"/>
      <c r="E700" s="28"/>
      <c r="F700" s="30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28"/>
      <c r="C701" s="28"/>
      <c r="D701" s="28"/>
      <c r="E701" s="28"/>
      <c r="F701" s="30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28"/>
      <c r="C702" s="28"/>
      <c r="D702" s="28"/>
      <c r="E702" s="28"/>
      <c r="F702" s="30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28"/>
      <c r="C703" s="28"/>
      <c r="D703" s="28"/>
      <c r="E703" s="28"/>
      <c r="F703" s="30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28"/>
      <c r="C704" s="28"/>
      <c r="D704" s="28"/>
      <c r="E704" s="28"/>
      <c r="F704" s="30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28"/>
      <c r="C705" s="28"/>
      <c r="D705" s="28"/>
      <c r="E705" s="28"/>
      <c r="F705" s="30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28"/>
      <c r="C706" s="28"/>
      <c r="D706" s="28"/>
      <c r="E706" s="28"/>
      <c r="F706" s="30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28"/>
      <c r="C707" s="28"/>
      <c r="D707" s="28"/>
      <c r="E707" s="28"/>
      <c r="F707" s="30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28"/>
      <c r="C708" s="28"/>
      <c r="D708" s="28"/>
      <c r="E708" s="28"/>
      <c r="F708" s="30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28"/>
      <c r="C709" s="28"/>
      <c r="D709" s="28"/>
      <c r="E709" s="28"/>
      <c r="F709" s="30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28"/>
      <c r="C710" s="28"/>
      <c r="D710" s="28"/>
      <c r="E710" s="28"/>
      <c r="F710" s="30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28"/>
      <c r="C711" s="28"/>
      <c r="D711" s="28"/>
      <c r="E711" s="28"/>
      <c r="F711" s="30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28"/>
      <c r="C712" s="28"/>
      <c r="D712" s="28"/>
      <c r="E712" s="28"/>
      <c r="F712" s="30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28"/>
      <c r="C713" s="28"/>
      <c r="D713" s="28"/>
      <c r="E713" s="28"/>
      <c r="F713" s="30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28"/>
      <c r="C714" s="28"/>
      <c r="D714" s="28"/>
      <c r="E714" s="28"/>
      <c r="F714" s="30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28"/>
      <c r="C715" s="28"/>
      <c r="D715" s="28"/>
      <c r="E715" s="28"/>
      <c r="F715" s="30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28"/>
      <c r="C716" s="28"/>
      <c r="D716" s="28"/>
      <c r="E716" s="28"/>
      <c r="F716" s="30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28"/>
      <c r="C717" s="28"/>
      <c r="D717" s="28"/>
      <c r="E717" s="28"/>
      <c r="F717" s="30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28"/>
      <c r="C718" s="28"/>
      <c r="D718" s="28"/>
      <c r="E718" s="28"/>
      <c r="F718" s="30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28"/>
      <c r="C719" s="28"/>
      <c r="D719" s="28"/>
      <c r="E719" s="28"/>
      <c r="F719" s="30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28"/>
      <c r="C720" s="28"/>
      <c r="D720" s="28"/>
      <c r="E720" s="28"/>
      <c r="F720" s="30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28"/>
      <c r="C721" s="28"/>
      <c r="D721" s="28"/>
      <c r="E721" s="28"/>
      <c r="F721" s="30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28"/>
      <c r="C722" s="28"/>
      <c r="D722" s="28"/>
      <c r="E722" s="28"/>
      <c r="F722" s="30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28"/>
      <c r="C723" s="28"/>
      <c r="D723" s="28"/>
      <c r="E723" s="28"/>
      <c r="F723" s="30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28"/>
      <c r="C724" s="28"/>
      <c r="D724" s="28"/>
      <c r="E724" s="28"/>
      <c r="F724" s="30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28"/>
      <c r="C725" s="28"/>
      <c r="D725" s="28"/>
      <c r="E725" s="28"/>
      <c r="F725" s="30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28"/>
      <c r="C726" s="28"/>
      <c r="D726" s="28"/>
      <c r="E726" s="28"/>
      <c r="F726" s="30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28"/>
      <c r="C727" s="28"/>
      <c r="D727" s="28"/>
      <c r="E727" s="28"/>
      <c r="F727" s="30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28"/>
      <c r="C728" s="28"/>
      <c r="D728" s="28"/>
      <c r="E728" s="28"/>
      <c r="F728" s="30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28"/>
      <c r="C729" s="28"/>
      <c r="D729" s="28"/>
      <c r="E729" s="28"/>
      <c r="F729" s="30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28"/>
      <c r="C730" s="28"/>
      <c r="D730" s="28"/>
      <c r="E730" s="28"/>
      <c r="F730" s="30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28"/>
      <c r="C731" s="28"/>
      <c r="D731" s="28"/>
      <c r="E731" s="28"/>
      <c r="F731" s="30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28"/>
      <c r="C732" s="28"/>
      <c r="D732" s="28"/>
      <c r="E732" s="28"/>
      <c r="F732" s="30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28"/>
      <c r="C733" s="28"/>
      <c r="D733" s="28"/>
      <c r="E733" s="28"/>
      <c r="F733" s="30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28"/>
      <c r="C734" s="28"/>
      <c r="D734" s="28"/>
      <c r="E734" s="28"/>
      <c r="F734" s="30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28"/>
      <c r="C735" s="28"/>
      <c r="D735" s="28"/>
      <c r="E735" s="28"/>
      <c r="F735" s="30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28"/>
      <c r="C736" s="28"/>
      <c r="D736" s="28"/>
      <c r="E736" s="28"/>
      <c r="F736" s="30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28"/>
      <c r="C737" s="28"/>
      <c r="D737" s="28"/>
      <c r="E737" s="28"/>
      <c r="F737" s="30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28"/>
      <c r="C738" s="28"/>
      <c r="D738" s="28"/>
      <c r="E738" s="28"/>
      <c r="F738" s="30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28"/>
      <c r="C739" s="28"/>
      <c r="D739" s="28"/>
      <c r="E739" s="28"/>
      <c r="F739" s="30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28"/>
      <c r="C740" s="28"/>
      <c r="D740" s="28"/>
      <c r="E740" s="28"/>
      <c r="F740" s="30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28"/>
      <c r="C741" s="28"/>
      <c r="D741" s="28"/>
      <c r="E741" s="28"/>
      <c r="F741" s="30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28"/>
      <c r="C742" s="28"/>
      <c r="D742" s="28"/>
      <c r="E742" s="28"/>
      <c r="F742" s="30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28"/>
      <c r="C743" s="28"/>
      <c r="D743" s="28"/>
      <c r="E743" s="28"/>
      <c r="F743" s="30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28"/>
      <c r="C744" s="28"/>
      <c r="D744" s="28"/>
      <c r="E744" s="28"/>
      <c r="F744" s="30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28"/>
      <c r="C745" s="28"/>
      <c r="D745" s="28"/>
      <c r="E745" s="28"/>
      <c r="F745" s="30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28"/>
      <c r="C746" s="28"/>
      <c r="D746" s="28"/>
      <c r="E746" s="28"/>
      <c r="F746" s="30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28"/>
      <c r="C747" s="28"/>
      <c r="D747" s="28"/>
      <c r="E747" s="28"/>
      <c r="F747" s="30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28"/>
      <c r="C748" s="28"/>
      <c r="D748" s="28"/>
      <c r="E748" s="28"/>
      <c r="F748" s="30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28"/>
      <c r="C749" s="28"/>
      <c r="D749" s="28"/>
      <c r="E749" s="28"/>
      <c r="F749" s="30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28"/>
      <c r="C750" s="28"/>
      <c r="D750" s="28"/>
      <c r="E750" s="28"/>
      <c r="F750" s="30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28"/>
      <c r="C751" s="28"/>
      <c r="D751" s="28"/>
      <c r="E751" s="28"/>
      <c r="F751" s="30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28"/>
      <c r="C752" s="28"/>
      <c r="D752" s="28"/>
      <c r="E752" s="28"/>
      <c r="F752" s="30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28"/>
      <c r="C753" s="28"/>
      <c r="D753" s="28"/>
      <c r="E753" s="28"/>
      <c r="F753" s="30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28"/>
      <c r="C754" s="28"/>
      <c r="D754" s="28"/>
      <c r="E754" s="28"/>
      <c r="F754" s="30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28"/>
      <c r="C755" s="28"/>
      <c r="D755" s="28"/>
      <c r="E755" s="28"/>
      <c r="F755" s="30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28"/>
      <c r="C756" s="28"/>
      <c r="D756" s="28"/>
      <c r="E756" s="28"/>
      <c r="F756" s="30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28"/>
      <c r="C757" s="28"/>
      <c r="D757" s="28"/>
      <c r="E757" s="28"/>
      <c r="F757" s="30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28"/>
      <c r="C758" s="28"/>
      <c r="D758" s="28"/>
      <c r="E758" s="28"/>
      <c r="F758" s="30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28"/>
      <c r="C759" s="28"/>
      <c r="D759" s="28"/>
      <c r="E759" s="28"/>
      <c r="F759" s="30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28"/>
      <c r="C760" s="28"/>
      <c r="D760" s="28"/>
      <c r="E760" s="28"/>
      <c r="F760" s="30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28"/>
      <c r="C761" s="28"/>
      <c r="D761" s="28"/>
      <c r="E761" s="28"/>
      <c r="F761" s="30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28"/>
      <c r="C762" s="28"/>
      <c r="D762" s="28"/>
      <c r="E762" s="28"/>
      <c r="F762" s="30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28"/>
      <c r="C763" s="28"/>
      <c r="D763" s="28"/>
      <c r="E763" s="28"/>
      <c r="F763" s="30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28"/>
      <c r="C764" s="28"/>
      <c r="D764" s="28"/>
      <c r="E764" s="28"/>
      <c r="F764" s="30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28"/>
      <c r="C765" s="28"/>
      <c r="D765" s="28"/>
      <c r="E765" s="28"/>
      <c r="F765" s="30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28"/>
      <c r="C766" s="28"/>
      <c r="D766" s="28"/>
      <c r="E766" s="28"/>
      <c r="F766" s="30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28"/>
      <c r="C767" s="28"/>
      <c r="D767" s="28"/>
      <c r="E767" s="28"/>
      <c r="F767" s="30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28"/>
      <c r="C768" s="28"/>
      <c r="D768" s="28"/>
      <c r="E768" s="28"/>
      <c r="F768" s="30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28"/>
      <c r="C769" s="28"/>
      <c r="D769" s="28"/>
      <c r="E769" s="28"/>
      <c r="F769" s="30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28"/>
      <c r="C770" s="28"/>
      <c r="D770" s="28"/>
      <c r="E770" s="28"/>
      <c r="F770" s="30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28"/>
      <c r="C771" s="28"/>
      <c r="D771" s="28"/>
      <c r="E771" s="28"/>
      <c r="F771" s="30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28"/>
      <c r="C772" s="28"/>
      <c r="D772" s="28"/>
      <c r="E772" s="28"/>
      <c r="F772" s="30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28"/>
      <c r="C773" s="28"/>
      <c r="D773" s="28"/>
      <c r="E773" s="28"/>
      <c r="F773" s="30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28"/>
      <c r="C774" s="28"/>
      <c r="D774" s="28"/>
      <c r="E774" s="28"/>
      <c r="F774" s="30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28"/>
      <c r="C775" s="28"/>
      <c r="D775" s="28"/>
      <c r="E775" s="28"/>
      <c r="F775" s="30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28"/>
      <c r="C776" s="28"/>
      <c r="D776" s="28"/>
      <c r="E776" s="28"/>
      <c r="F776" s="30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28"/>
      <c r="C777" s="28"/>
      <c r="D777" s="28"/>
      <c r="E777" s="28"/>
      <c r="F777" s="30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28"/>
      <c r="C778" s="28"/>
      <c r="D778" s="28"/>
      <c r="E778" s="28"/>
      <c r="F778" s="30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28"/>
      <c r="C779" s="28"/>
      <c r="D779" s="28"/>
      <c r="E779" s="28"/>
      <c r="F779" s="30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28"/>
      <c r="C780" s="28"/>
      <c r="D780" s="28"/>
      <c r="E780" s="28"/>
      <c r="F780" s="30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28"/>
      <c r="C781" s="28"/>
      <c r="D781" s="28"/>
      <c r="E781" s="28"/>
      <c r="F781" s="30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28"/>
      <c r="C782" s="28"/>
      <c r="D782" s="28"/>
      <c r="E782" s="28"/>
      <c r="F782" s="30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28"/>
      <c r="C783" s="28"/>
      <c r="D783" s="28"/>
      <c r="E783" s="28"/>
      <c r="F783" s="30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28"/>
      <c r="C784" s="28"/>
      <c r="D784" s="28"/>
      <c r="E784" s="28"/>
      <c r="F784" s="30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28"/>
      <c r="C785" s="28"/>
      <c r="D785" s="28"/>
      <c r="E785" s="28"/>
      <c r="F785" s="30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28"/>
      <c r="C786" s="28"/>
      <c r="D786" s="28"/>
      <c r="E786" s="28"/>
      <c r="F786" s="30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28"/>
      <c r="C787" s="28"/>
      <c r="D787" s="28"/>
      <c r="E787" s="28"/>
      <c r="F787" s="30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28"/>
      <c r="C788" s="28"/>
      <c r="D788" s="28"/>
      <c r="E788" s="28"/>
      <c r="F788" s="30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28"/>
      <c r="C789" s="28"/>
      <c r="D789" s="28"/>
      <c r="E789" s="28"/>
      <c r="F789" s="30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28"/>
      <c r="C790" s="28"/>
      <c r="D790" s="28"/>
      <c r="E790" s="28"/>
      <c r="F790" s="30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28"/>
      <c r="C791" s="28"/>
      <c r="D791" s="28"/>
      <c r="E791" s="28"/>
      <c r="F791" s="30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28"/>
      <c r="C792" s="28"/>
      <c r="D792" s="28"/>
      <c r="E792" s="28"/>
      <c r="F792" s="30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28"/>
      <c r="C793" s="28"/>
      <c r="D793" s="28"/>
      <c r="E793" s="28"/>
      <c r="F793" s="30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28"/>
      <c r="C794" s="28"/>
      <c r="D794" s="28"/>
      <c r="E794" s="28"/>
      <c r="F794" s="30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28"/>
      <c r="C795" s="28"/>
      <c r="D795" s="28"/>
      <c r="E795" s="28"/>
      <c r="F795" s="30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28"/>
      <c r="C796" s="28"/>
      <c r="D796" s="28"/>
      <c r="E796" s="28"/>
      <c r="F796" s="30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28"/>
      <c r="C797" s="28"/>
      <c r="D797" s="28"/>
      <c r="E797" s="28"/>
      <c r="F797" s="30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28"/>
      <c r="C798" s="28"/>
      <c r="D798" s="28"/>
      <c r="E798" s="28"/>
      <c r="F798" s="30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28"/>
      <c r="C799" s="28"/>
      <c r="D799" s="28"/>
      <c r="E799" s="28"/>
      <c r="F799" s="30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28"/>
      <c r="C800" s="28"/>
      <c r="D800" s="28"/>
      <c r="E800" s="28"/>
      <c r="F800" s="30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28"/>
      <c r="C801" s="28"/>
      <c r="D801" s="28"/>
      <c r="E801" s="28"/>
      <c r="F801" s="30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28"/>
      <c r="C802" s="28"/>
      <c r="D802" s="28"/>
      <c r="E802" s="28"/>
      <c r="F802" s="30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28"/>
      <c r="C803" s="28"/>
      <c r="D803" s="28"/>
      <c r="E803" s="28"/>
      <c r="F803" s="30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28"/>
      <c r="C804" s="28"/>
      <c r="D804" s="28"/>
      <c r="E804" s="28"/>
      <c r="F804" s="30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28"/>
      <c r="C805" s="28"/>
      <c r="D805" s="28"/>
      <c r="E805" s="28"/>
      <c r="F805" s="30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28"/>
      <c r="C806" s="28"/>
      <c r="D806" s="28"/>
      <c r="E806" s="28"/>
      <c r="F806" s="30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28"/>
      <c r="C807" s="28"/>
      <c r="D807" s="28"/>
      <c r="E807" s="28"/>
      <c r="F807" s="30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28"/>
      <c r="C808" s="28"/>
      <c r="D808" s="28"/>
      <c r="E808" s="28"/>
      <c r="F808" s="30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28"/>
      <c r="C809" s="28"/>
      <c r="D809" s="28"/>
      <c r="E809" s="28"/>
      <c r="F809" s="30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28"/>
      <c r="C810" s="28"/>
      <c r="D810" s="28"/>
      <c r="E810" s="28"/>
      <c r="F810" s="30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28"/>
      <c r="C811" s="28"/>
      <c r="D811" s="28"/>
      <c r="E811" s="28"/>
      <c r="F811" s="30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28"/>
      <c r="C812" s="28"/>
      <c r="D812" s="28"/>
      <c r="E812" s="28"/>
      <c r="F812" s="30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28"/>
      <c r="C813" s="28"/>
      <c r="D813" s="28"/>
      <c r="E813" s="28"/>
      <c r="F813" s="30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28"/>
      <c r="C814" s="28"/>
      <c r="D814" s="28"/>
      <c r="E814" s="28"/>
      <c r="F814" s="30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28"/>
      <c r="C815" s="28"/>
      <c r="D815" s="28"/>
      <c r="E815" s="28"/>
      <c r="F815" s="30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28"/>
      <c r="C816" s="28"/>
      <c r="D816" s="28"/>
      <c r="E816" s="28"/>
      <c r="F816" s="30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28"/>
      <c r="C817" s="28"/>
      <c r="D817" s="28"/>
      <c r="E817" s="28"/>
      <c r="F817" s="30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28"/>
      <c r="C818" s="28"/>
      <c r="D818" s="28"/>
      <c r="E818" s="28"/>
      <c r="F818" s="30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28"/>
      <c r="C819" s="28"/>
      <c r="D819" s="28"/>
      <c r="E819" s="28"/>
      <c r="F819" s="30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28"/>
      <c r="C820" s="28"/>
      <c r="D820" s="28"/>
      <c r="E820" s="28"/>
      <c r="F820" s="30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28"/>
      <c r="C821" s="28"/>
      <c r="D821" s="28"/>
      <c r="E821" s="28"/>
      <c r="F821" s="30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28"/>
      <c r="C822" s="28"/>
      <c r="D822" s="28"/>
      <c r="E822" s="28"/>
      <c r="F822" s="30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28"/>
      <c r="C823" s="28"/>
      <c r="D823" s="28"/>
      <c r="E823" s="28"/>
      <c r="F823" s="30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28"/>
      <c r="C824" s="28"/>
      <c r="D824" s="28"/>
      <c r="E824" s="28"/>
      <c r="F824" s="30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28"/>
      <c r="C825" s="28"/>
      <c r="D825" s="28"/>
      <c r="E825" s="28"/>
      <c r="F825" s="30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28"/>
      <c r="C826" s="28"/>
      <c r="D826" s="28"/>
      <c r="E826" s="28"/>
      <c r="F826" s="30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28"/>
      <c r="C827" s="28"/>
      <c r="D827" s="28"/>
      <c r="E827" s="28"/>
      <c r="F827" s="30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28"/>
      <c r="C828" s="28"/>
      <c r="D828" s="28"/>
      <c r="E828" s="28"/>
      <c r="F828" s="30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28"/>
      <c r="C829" s="28"/>
      <c r="D829" s="28"/>
      <c r="E829" s="28"/>
      <c r="F829" s="30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28"/>
      <c r="C830" s="28"/>
      <c r="D830" s="28"/>
      <c r="E830" s="28"/>
      <c r="F830" s="30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28"/>
      <c r="C831" s="28"/>
      <c r="D831" s="28"/>
      <c r="E831" s="28"/>
      <c r="F831" s="30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28"/>
      <c r="C832" s="28"/>
      <c r="D832" s="28"/>
      <c r="E832" s="28"/>
      <c r="F832" s="30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28"/>
      <c r="C833" s="28"/>
      <c r="D833" s="28"/>
      <c r="E833" s="28"/>
      <c r="F833" s="30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28"/>
      <c r="C834" s="28"/>
      <c r="D834" s="28"/>
      <c r="E834" s="28"/>
      <c r="F834" s="30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28"/>
      <c r="C835" s="28"/>
      <c r="D835" s="28"/>
      <c r="E835" s="28"/>
      <c r="F835" s="30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28"/>
      <c r="C836" s="28"/>
      <c r="D836" s="28"/>
      <c r="E836" s="28"/>
      <c r="F836" s="30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28"/>
      <c r="C837" s="28"/>
      <c r="D837" s="28"/>
      <c r="E837" s="28"/>
      <c r="F837" s="30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28"/>
      <c r="C838" s="28"/>
      <c r="D838" s="28"/>
      <c r="E838" s="28"/>
      <c r="F838" s="30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28"/>
      <c r="C839" s="28"/>
      <c r="D839" s="28"/>
      <c r="E839" s="28"/>
      <c r="F839" s="30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28"/>
      <c r="C840" s="28"/>
      <c r="D840" s="28"/>
      <c r="E840" s="28"/>
      <c r="F840" s="30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28"/>
      <c r="C841" s="28"/>
      <c r="D841" s="28"/>
      <c r="E841" s="28"/>
      <c r="F841" s="30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28"/>
      <c r="C842" s="28"/>
      <c r="D842" s="28"/>
      <c r="E842" s="28"/>
      <c r="F842" s="30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28"/>
      <c r="C843" s="28"/>
      <c r="D843" s="28"/>
      <c r="E843" s="28"/>
      <c r="F843" s="30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28"/>
      <c r="C844" s="28"/>
      <c r="D844" s="28"/>
      <c r="E844" s="28"/>
      <c r="F844" s="30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28"/>
      <c r="C845" s="28"/>
      <c r="D845" s="28"/>
      <c r="E845" s="28"/>
      <c r="F845" s="30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28"/>
      <c r="C846" s="28"/>
      <c r="D846" s="28"/>
      <c r="E846" s="28"/>
      <c r="F846" s="30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28"/>
      <c r="C847" s="28"/>
      <c r="D847" s="28"/>
      <c r="E847" s="28"/>
      <c r="F847" s="30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28"/>
      <c r="C848" s="28"/>
      <c r="D848" s="28"/>
      <c r="E848" s="28"/>
      <c r="F848" s="30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28"/>
      <c r="C849" s="28"/>
      <c r="D849" s="28"/>
      <c r="E849" s="28"/>
      <c r="F849" s="30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28"/>
      <c r="C850" s="28"/>
      <c r="D850" s="28"/>
      <c r="E850" s="28"/>
      <c r="F850" s="30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28"/>
      <c r="C851" s="28"/>
      <c r="D851" s="28"/>
      <c r="E851" s="28"/>
      <c r="F851" s="30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28"/>
      <c r="C852" s="28"/>
      <c r="D852" s="28"/>
      <c r="E852" s="28"/>
      <c r="F852" s="30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28"/>
      <c r="C853" s="28"/>
      <c r="D853" s="28"/>
      <c r="E853" s="28"/>
      <c r="F853" s="30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28"/>
      <c r="C854" s="28"/>
      <c r="D854" s="28"/>
      <c r="E854" s="28"/>
      <c r="F854" s="30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28"/>
      <c r="C855" s="28"/>
      <c r="D855" s="28"/>
      <c r="E855" s="28"/>
      <c r="F855" s="30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28"/>
      <c r="C856" s="28"/>
      <c r="D856" s="28"/>
      <c r="E856" s="28"/>
      <c r="F856" s="30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28"/>
      <c r="C857" s="28"/>
      <c r="D857" s="28"/>
      <c r="E857" s="28"/>
      <c r="F857" s="30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28"/>
      <c r="C858" s="28"/>
      <c r="D858" s="28"/>
      <c r="E858" s="28"/>
      <c r="F858" s="30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28"/>
      <c r="C859" s="28"/>
      <c r="D859" s="28"/>
      <c r="E859" s="28"/>
      <c r="F859" s="30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28"/>
      <c r="C860" s="28"/>
      <c r="D860" s="28"/>
      <c r="E860" s="28"/>
      <c r="F860" s="30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28"/>
      <c r="C861" s="28"/>
      <c r="D861" s="28"/>
      <c r="E861" s="28"/>
      <c r="F861" s="30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28"/>
      <c r="C862" s="28"/>
      <c r="D862" s="28"/>
      <c r="E862" s="28"/>
      <c r="F862" s="30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28"/>
      <c r="C863" s="28"/>
      <c r="D863" s="28"/>
      <c r="E863" s="28"/>
      <c r="F863" s="30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28"/>
      <c r="C864" s="28"/>
      <c r="D864" s="28"/>
      <c r="E864" s="28"/>
      <c r="F864" s="30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28"/>
      <c r="C865" s="28"/>
      <c r="D865" s="28"/>
      <c r="E865" s="28"/>
      <c r="F865" s="30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28"/>
      <c r="C866" s="28"/>
      <c r="D866" s="28"/>
      <c r="E866" s="28"/>
      <c r="F866" s="30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28"/>
      <c r="C867" s="28"/>
      <c r="D867" s="28"/>
      <c r="E867" s="28"/>
      <c r="F867" s="30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28"/>
      <c r="C868" s="28"/>
      <c r="D868" s="28"/>
      <c r="E868" s="28"/>
      <c r="F868" s="30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28"/>
      <c r="C869" s="28"/>
      <c r="D869" s="28"/>
      <c r="E869" s="28"/>
      <c r="F869" s="30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28"/>
      <c r="C870" s="28"/>
      <c r="D870" s="28"/>
      <c r="E870" s="28"/>
      <c r="F870" s="30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28"/>
      <c r="C871" s="28"/>
      <c r="D871" s="28"/>
      <c r="E871" s="28"/>
      <c r="F871" s="30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28"/>
      <c r="C872" s="28"/>
      <c r="D872" s="28"/>
      <c r="E872" s="28"/>
      <c r="F872" s="30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28"/>
      <c r="C873" s="28"/>
      <c r="D873" s="28"/>
      <c r="E873" s="28"/>
      <c r="F873" s="30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28"/>
      <c r="C874" s="28"/>
      <c r="D874" s="28"/>
      <c r="E874" s="28"/>
      <c r="F874" s="30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28"/>
      <c r="C875" s="28"/>
      <c r="D875" s="28"/>
      <c r="E875" s="28"/>
      <c r="F875" s="30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28"/>
      <c r="C876" s="28"/>
      <c r="D876" s="28"/>
      <c r="E876" s="28"/>
      <c r="F876" s="30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28"/>
      <c r="C877" s="28"/>
      <c r="D877" s="28"/>
      <c r="E877" s="28"/>
      <c r="F877" s="30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28"/>
      <c r="C878" s="28"/>
      <c r="D878" s="28"/>
      <c r="E878" s="28"/>
      <c r="F878" s="30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28"/>
      <c r="C879" s="28"/>
      <c r="D879" s="28"/>
      <c r="E879" s="28"/>
      <c r="F879" s="30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28"/>
      <c r="C880" s="28"/>
      <c r="D880" s="28"/>
      <c r="E880" s="28"/>
      <c r="F880" s="30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28"/>
      <c r="C881" s="28"/>
      <c r="D881" s="28"/>
      <c r="E881" s="28"/>
      <c r="F881" s="30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28"/>
      <c r="C882" s="28"/>
      <c r="D882" s="28"/>
      <c r="E882" s="28"/>
      <c r="F882" s="30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28"/>
      <c r="C883" s="28"/>
      <c r="D883" s="28"/>
      <c r="E883" s="28"/>
      <c r="F883" s="30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28"/>
      <c r="C884" s="28"/>
      <c r="D884" s="28"/>
      <c r="E884" s="28"/>
      <c r="F884" s="30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28"/>
      <c r="C885" s="28"/>
      <c r="D885" s="28"/>
      <c r="E885" s="28"/>
      <c r="F885" s="30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28"/>
      <c r="C886" s="28"/>
      <c r="D886" s="28"/>
      <c r="E886" s="28"/>
      <c r="F886" s="30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28"/>
      <c r="C887" s="28"/>
      <c r="D887" s="28"/>
      <c r="E887" s="28"/>
      <c r="F887" s="30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28"/>
      <c r="C888" s="28"/>
      <c r="D888" s="28"/>
      <c r="E888" s="28"/>
      <c r="F888" s="30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28"/>
      <c r="C889" s="28"/>
      <c r="D889" s="28"/>
      <c r="E889" s="28"/>
      <c r="F889" s="30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28"/>
      <c r="C890" s="28"/>
      <c r="D890" s="28"/>
      <c r="E890" s="28"/>
      <c r="F890" s="30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28"/>
      <c r="C891" s="28"/>
      <c r="D891" s="28"/>
      <c r="E891" s="28"/>
      <c r="F891" s="30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28"/>
      <c r="C892" s="28"/>
      <c r="D892" s="28"/>
      <c r="E892" s="28"/>
      <c r="F892" s="30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28"/>
      <c r="C893" s="28"/>
      <c r="D893" s="28"/>
      <c r="E893" s="28"/>
      <c r="F893" s="30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28"/>
      <c r="C894" s="28"/>
      <c r="D894" s="28"/>
      <c r="E894" s="28"/>
      <c r="F894" s="30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28"/>
      <c r="C895" s="28"/>
      <c r="D895" s="28"/>
      <c r="E895" s="28"/>
      <c r="F895" s="30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28"/>
      <c r="C896" s="28"/>
      <c r="D896" s="28"/>
      <c r="E896" s="28"/>
      <c r="F896" s="30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28"/>
      <c r="C897" s="28"/>
      <c r="D897" s="28"/>
      <c r="E897" s="28"/>
      <c r="F897" s="30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28"/>
      <c r="C898" s="28"/>
      <c r="D898" s="28"/>
      <c r="E898" s="28"/>
      <c r="F898" s="30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28"/>
      <c r="C899" s="28"/>
      <c r="D899" s="28"/>
      <c r="E899" s="28"/>
      <c r="F899" s="30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28"/>
      <c r="C900" s="28"/>
      <c r="D900" s="28"/>
      <c r="E900" s="28"/>
      <c r="F900" s="30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28"/>
      <c r="C901" s="28"/>
      <c r="D901" s="28"/>
      <c r="E901" s="28"/>
      <c r="F901" s="30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28"/>
      <c r="C902" s="28"/>
      <c r="D902" s="28"/>
      <c r="E902" s="28"/>
      <c r="F902" s="30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28"/>
      <c r="C903" s="28"/>
      <c r="D903" s="28"/>
      <c r="E903" s="28"/>
      <c r="F903" s="30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28"/>
      <c r="C904" s="28"/>
      <c r="D904" s="28"/>
      <c r="E904" s="28"/>
      <c r="F904" s="30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28"/>
      <c r="C905" s="28"/>
      <c r="D905" s="28"/>
      <c r="E905" s="28"/>
      <c r="F905" s="30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28"/>
      <c r="C906" s="28"/>
      <c r="D906" s="28"/>
      <c r="E906" s="28"/>
      <c r="F906" s="30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28"/>
      <c r="C907" s="28"/>
      <c r="D907" s="28"/>
      <c r="E907" s="28"/>
      <c r="F907" s="30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28"/>
      <c r="C908" s="28"/>
      <c r="D908" s="28"/>
      <c r="E908" s="28"/>
      <c r="F908" s="30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28"/>
      <c r="C909" s="28"/>
      <c r="D909" s="28"/>
      <c r="E909" s="28"/>
      <c r="F909" s="30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28"/>
      <c r="C910" s="28"/>
      <c r="D910" s="28"/>
      <c r="E910" s="28"/>
      <c r="F910" s="30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28"/>
      <c r="C911" s="28"/>
      <c r="D911" s="28"/>
      <c r="E911" s="28"/>
      <c r="F911" s="30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28"/>
      <c r="C912" s="28"/>
      <c r="D912" s="28"/>
      <c r="E912" s="28"/>
      <c r="F912" s="30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28"/>
      <c r="C913" s="28"/>
      <c r="D913" s="28"/>
      <c r="E913" s="28"/>
      <c r="F913" s="30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28"/>
      <c r="C914" s="28"/>
      <c r="D914" s="28"/>
      <c r="E914" s="28"/>
      <c r="F914" s="30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28"/>
      <c r="C915" s="28"/>
      <c r="D915" s="28"/>
      <c r="E915" s="28"/>
      <c r="F915" s="30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28"/>
      <c r="C916" s="28"/>
      <c r="D916" s="28"/>
      <c r="E916" s="28"/>
      <c r="F916" s="30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28"/>
      <c r="C917" s="28"/>
      <c r="D917" s="28"/>
      <c r="E917" s="28"/>
      <c r="F917" s="30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28"/>
      <c r="C918" s="28"/>
      <c r="D918" s="28"/>
      <c r="E918" s="28"/>
      <c r="F918" s="30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28"/>
      <c r="C919" s="28"/>
      <c r="D919" s="28"/>
      <c r="E919" s="28"/>
      <c r="F919" s="30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28"/>
      <c r="C920" s="28"/>
      <c r="D920" s="28"/>
      <c r="E920" s="28"/>
      <c r="F920" s="30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28"/>
      <c r="C921" s="28"/>
      <c r="D921" s="28"/>
      <c r="E921" s="28"/>
      <c r="F921" s="30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28"/>
      <c r="C922" s="28"/>
      <c r="D922" s="28"/>
      <c r="E922" s="28"/>
      <c r="F922" s="30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28"/>
      <c r="C923" s="28"/>
      <c r="D923" s="28"/>
      <c r="E923" s="28"/>
      <c r="F923" s="30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28"/>
      <c r="C924" s="28"/>
      <c r="D924" s="28"/>
      <c r="E924" s="28"/>
      <c r="F924" s="30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28"/>
      <c r="C925" s="28"/>
      <c r="D925" s="28"/>
      <c r="E925" s="28"/>
      <c r="F925" s="30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28"/>
      <c r="C926" s="28"/>
      <c r="D926" s="28"/>
      <c r="E926" s="28"/>
      <c r="F926" s="30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28"/>
      <c r="C927" s="28"/>
      <c r="D927" s="28"/>
      <c r="E927" s="28"/>
      <c r="F927" s="30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28"/>
      <c r="C928" s="28"/>
      <c r="D928" s="28"/>
      <c r="E928" s="28"/>
      <c r="F928" s="30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28"/>
      <c r="C929" s="28"/>
      <c r="D929" s="28"/>
      <c r="E929" s="28"/>
      <c r="F929" s="30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28"/>
      <c r="C930" s="28"/>
      <c r="D930" s="28"/>
      <c r="E930" s="28"/>
      <c r="F930" s="30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28"/>
      <c r="C931" s="28"/>
      <c r="D931" s="28"/>
      <c r="E931" s="28"/>
      <c r="F931" s="30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28"/>
      <c r="C932" s="28"/>
      <c r="D932" s="28"/>
      <c r="E932" s="28"/>
      <c r="F932" s="30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28"/>
      <c r="C933" s="28"/>
      <c r="D933" s="28"/>
      <c r="E933" s="28"/>
      <c r="F933" s="30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28"/>
      <c r="C934" s="28"/>
      <c r="D934" s="28"/>
      <c r="E934" s="28"/>
      <c r="F934" s="30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28"/>
      <c r="C935" s="28"/>
      <c r="D935" s="28"/>
      <c r="E935" s="28"/>
      <c r="F935" s="30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28"/>
      <c r="C936" s="28"/>
      <c r="D936" s="28"/>
      <c r="E936" s="28"/>
      <c r="F936" s="30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28"/>
      <c r="C937" s="28"/>
      <c r="D937" s="28"/>
      <c r="E937" s="28"/>
      <c r="F937" s="30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28"/>
      <c r="C938" s="28"/>
      <c r="D938" s="28"/>
      <c r="E938" s="28"/>
      <c r="F938" s="30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28"/>
      <c r="C939" s="28"/>
      <c r="D939" s="28"/>
      <c r="E939" s="28"/>
      <c r="F939" s="30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28"/>
      <c r="C940" s="28"/>
      <c r="D940" s="28"/>
      <c r="E940" s="28"/>
      <c r="F940" s="30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28"/>
      <c r="C941" s="28"/>
      <c r="D941" s="28"/>
      <c r="E941" s="28"/>
      <c r="F941" s="30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28"/>
      <c r="C942" s="28"/>
      <c r="D942" s="28"/>
      <c r="E942" s="28"/>
      <c r="F942" s="30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28"/>
      <c r="C943" s="28"/>
      <c r="D943" s="28"/>
      <c r="E943" s="28"/>
      <c r="F943" s="30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28"/>
      <c r="C944" s="28"/>
      <c r="D944" s="28"/>
      <c r="E944" s="28"/>
      <c r="F944" s="30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28"/>
      <c r="C945" s="28"/>
      <c r="D945" s="28"/>
      <c r="E945" s="28"/>
      <c r="F945" s="30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28"/>
      <c r="C946" s="28"/>
      <c r="D946" s="28"/>
      <c r="E946" s="28"/>
      <c r="F946" s="30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28"/>
      <c r="C947" s="28"/>
      <c r="D947" s="28"/>
      <c r="E947" s="28"/>
      <c r="F947" s="30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28"/>
      <c r="C948" s="28"/>
      <c r="D948" s="28"/>
      <c r="E948" s="28"/>
      <c r="F948" s="30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28"/>
      <c r="C949" s="28"/>
      <c r="D949" s="28"/>
      <c r="E949" s="28"/>
      <c r="F949" s="30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28"/>
      <c r="C950" s="28"/>
      <c r="D950" s="28"/>
      <c r="E950" s="28"/>
      <c r="F950" s="30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28"/>
      <c r="C951" s="28"/>
      <c r="D951" s="28"/>
      <c r="E951" s="28"/>
      <c r="F951" s="30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28"/>
      <c r="C952" s="28"/>
      <c r="D952" s="28"/>
      <c r="E952" s="28"/>
      <c r="F952" s="30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28"/>
      <c r="C953" s="28"/>
      <c r="D953" s="28"/>
      <c r="E953" s="28"/>
      <c r="F953" s="30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28"/>
      <c r="C954" s="28"/>
      <c r="D954" s="28"/>
      <c r="E954" s="28"/>
      <c r="F954" s="30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28"/>
      <c r="C955" s="28"/>
      <c r="D955" s="28"/>
      <c r="E955" s="28"/>
      <c r="F955" s="30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28"/>
      <c r="C956" s="28"/>
      <c r="D956" s="28"/>
      <c r="E956" s="28"/>
      <c r="F956" s="30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28"/>
      <c r="C957" s="28"/>
      <c r="D957" s="28"/>
      <c r="E957" s="28"/>
      <c r="F957" s="30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28"/>
      <c r="C958" s="28"/>
      <c r="D958" s="28"/>
      <c r="E958" s="28"/>
      <c r="F958" s="30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28"/>
      <c r="C959" s="28"/>
      <c r="D959" s="28"/>
      <c r="E959" s="28"/>
      <c r="F959" s="30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28"/>
      <c r="C960" s="28"/>
      <c r="D960" s="28"/>
      <c r="E960" s="28"/>
      <c r="F960" s="30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28"/>
      <c r="C961" s="28"/>
      <c r="D961" s="28"/>
      <c r="E961" s="28"/>
      <c r="F961" s="30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28"/>
      <c r="C962" s="28"/>
      <c r="D962" s="28"/>
      <c r="E962" s="28"/>
      <c r="F962" s="30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28"/>
      <c r="C963" s="28"/>
      <c r="D963" s="28"/>
      <c r="E963" s="28"/>
      <c r="F963" s="30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28"/>
      <c r="C964" s="28"/>
      <c r="D964" s="28"/>
      <c r="E964" s="28"/>
      <c r="F964" s="30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28"/>
      <c r="C965" s="28"/>
      <c r="D965" s="28"/>
      <c r="E965" s="28"/>
      <c r="F965" s="30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28"/>
      <c r="C966" s="28"/>
      <c r="D966" s="28"/>
      <c r="E966" s="28"/>
      <c r="F966" s="30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28"/>
      <c r="C967" s="28"/>
      <c r="D967" s="28"/>
      <c r="E967" s="28"/>
      <c r="F967" s="30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28"/>
      <c r="C968" s="28"/>
      <c r="D968" s="28"/>
      <c r="E968" s="28"/>
      <c r="F968" s="30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28"/>
      <c r="C969" s="28"/>
      <c r="D969" s="28"/>
      <c r="E969" s="28"/>
      <c r="F969" s="30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28"/>
      <c r="C970" s="28"/>
      <c r="D970" s="28"/>
      <c r="E970" s="28"/>
      <c r="F970" s="30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28"/>
      <c r="C971" s="28"/>
      <c r="D971" s="28"/>
      <c r="E971" s="28"/>
      <c r="F971" s="30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28"/>
      <c r="C972" s="28"/>
      <c r="D972" s="28"/>
      <c r="E972" s="28"/>
      <c r="F972" s="30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28"/>
      <c r="C973" s="28"/>
      <c r="D973" s="28"/>
      <c r="E973" s="28"/>
      <c r="F973" s="30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28"/>
      <c r="C974" s="28"/>
      <c r="D974" s="28"/>
      <c r="E974" s="28"/>
      <c r="F974" s="30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28"/>
      <c r="C975" s="28"/>
      <c r="D975" s="28"/>
      <c r="E975" s="28"/>
      <c r="F975" s="30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28"/>
      <c r="C976" s="28"/>
      <c r="D976" s="28"/>
      <c r="E976" s="28"/>
      <c r="F976" s="30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28"/>
      <c r="C977" s="28"/>
      <c r="D977" s="28"/>
      <c r="E977" s="28"/>
      <c r="F977" s="30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28"/>
      <c r="C978" s="28"/>
      <c r="D978" s="28"/>
      <c r="E978" s="28"/>
      <c r="F978" s="30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28"/>
      <c r="C979" s="28"/>
      <c r="D979" s="28"/>
      <c r="E979" s="28"/>
      <c r="F979" s="30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28"/>
      <c r="C980" s="28"/>
      <c r="D980" s="28"/>
      <c r="E980" s="28"/>
      <c r="F980" s="30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28"/>
      <c r="C981" s="28"/>
      <c r="D981" s="28"/>
      <c r="E981" s="28"/>
      <c r="F981" s="30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28"/>
      <c r="C982" s="28"/>
      <c r="D982" s="28"/>
      <c r="E982" s="28"/>
      <c r="F982" s="30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28"/>
      <c r="C983" s="28"/>
      <c r="D983" s="28"/>
      <c r="E983" s="28"/>
      <c r="F983" s="30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28"/>
      <c r="C984" s="28"/>
      <c r="D984" s="28"/>
      <c r="E984" s="28"/>
      <c r="F984" s="30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28"/>
      <c r="C985" s="28"/>
      <c r="D985" s="28"/>
      <c r="E985" s="28"/>
      <c r="F985" s="30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28"/>
      <c r="C986" s="28"/>
      <c r="D986" s="28"/>
      <c r="E986" s="28"/>
      <c r="F986" s="30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28"/>
      <c r="C987" s="28"/>
      <c r="D987" s="28"/>
      <c r="E987" s="28"/>
      <c r="F987" s="30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28"/>
      <c r="C988" s="28"/>
      <c r="D988" s="28"/>
      <c r="E988" s="28"/>
      <c r="F988" s="30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28"/>
      <c r="C989" s="28"/>
      <c r="D989" s="28"/>
      <c r="E989" s="28"/>
      <c r="F989" s="30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28"/>
      <c r="C990" s="28"/>
      <c r="D990" s="28"/>
      <c r="E990" s="28"/>
      <c r="F990" s="30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28"/>
      <c r="C991" s="28"/>
      <c r="D991" s="28"/>
      <c r="E991" s="28"/>
      <c r="F991" s="30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28"/>
      <c r="C992" s="28"/>
      <c r="D992" s="28"/>
      <c r="E992" s="28"/>
      <c r="F992" s="30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28"/>
      <c r="C993" s="28"/>
      <c r="D993" s="28"/>
      <c r="E993" s="28"/>
      <c r="F993" s="30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28"/>
      <c r="C994" s="28"/>
      <c r="D994" s="28"/>
      <c r="E994" s="28"/>
      <c r="F994" s="30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28"/>
      <c r="C995" s="28"/>
      <c r="D995" s="28"/>
      <c r="E995" s="28"/>
      <c r="F995" s="30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28"/>
      <c r="C996" s="28"/>
      <c r="D996" s="28"/>
      <c r="E996" s="28"/>
      <c r="F996" s="30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28"/>
      <c r="C997" s="28"/>
      <c r="D997" s="28"/>
      <c r="E997" s="28"/>
      <c r="F997" s="30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28"/>
      <c r="C998" s="28"/>
      <c r="D998" s="28"/>
      <c r="E998" s="28"/>
      <c r="F998" s="30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28"/>
      <c r="C999" s="28"/>
      <c r="D999" s="28"/>
      <c r="E999" s="28"/>
      <c r="F999" s="30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28"/>
      <c r="C1000" s="28"/>
      <c r="D1000" s="28"/>
      <c r="E1000" s="28"/>
      <c r="F1000" s="30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28"/>
      <c r="C1001" s="28"/>
      <c r="D1001" s="28"/>
      <c r="E1001" s="28"/>
      <c r="F1001" s="30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28"/>
      <c r="C1002" s="28"/>
      <c r="D1002" s="28"/>
      <c r="E1002" s="28"/>
      <c r="F1002" s="30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28"/>
      <c r="C1003" s="28"/>
      <c r="D1003" s="28"/>
      <c r="E1003" s="28"/>
      <c r="F1003" s="30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28"/>
      <c r="C1004" s="28"/>
      <c r="D1004" s="28"/>
      <c r="E1004" s="28"/>
      <c r="F1004" s="30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28"/>
      <c r="C1005" s="28"/>
      <c r="D1005" s="28"/>
      <c r="E1005" s="28"/>
      <c r="F1005" s="30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28"/>
      <c r="C1006" s="28"/>
      <c r="D1006" s="28"/>
      <c r="E1006" s="28"/>
      <c r="F1006" s="30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28"/>
      <c r="C1007" s="28"/>
      <c r="D1007" s="28"/>
      <c r="E1007" s="28"/>
      <c r="F1007" s="30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28"/>
      <c r="C1008" s="28"/>
      <c r="D1008" s="28"/>
      <c r="E1008" s="28"/>
      <c r="F1008" s="30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1"/>
      <c r="B1009" s="28"/>
      <c r="C1009" s="28"/>
      <c r="D1009" s="28"/>
      <c r="E1009" s="28"/>
      <c r="F1009" s="30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>
      <c r="A1010" s="1"/>
      <c r="B1010" s="28"/>
      <c r="C1010" s="28"/>
      <c r="D1010" s="28"/>
      <c r="E1010" s="28"/>
      <c r="F1010" s="30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>
      <c r="A1011" s="1"/>
      <c r="B1011" s="28"/>
      <c r="C1011" s="28"/>
      <c r="D1011" s="28"/>
      <c r="E1011" s="28"/>
      <c r="F1011" s="30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>
      <c r="A1012" s="1"/>
      <c r="B1012" s="28"/>
      <c r="C1012" s="28"/>
      <c r="D1012" s="28"/>
      <c r="E1012" s="28"/>
      <c r="F1012" s="30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>
      <c r="A1013" s="1"/>
      <c r="B1013" s="28"/>
      <c r="C1013" s="28"/>
      <c r="D1013" s="28"/>
      <c r="E1013" s="28"/>
      <c r="F1013" s="30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>
      <c r="A1014" s="1"/>
      <c r="B1014" s="28"/>
      <c r="C1014" s="28"/>
      <c r="D1014" s="28"/>
      <c r="E1014" s="28"/>
      <c r="F1014" s="30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>
      <c r="A1015" s="1"/>
      <c r="B1015" s="28"/>
      <c r="C1015" s="28"/>
      <c r="D1015" s="28"/>
      <c r="E1015" s="28"/>
      <c r="F1015" s="30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75" customHeight="1">
      <c r="A1016" s="1"/>
      <c r="B1016" s="28"/>
      <c r="C1016" s="28"/>
      <c r="D1016" s="28"/>
      <c r="E1016" s="28"/>
      <c r="F1016" s="30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75" customHeight="1">
      <c r="A1017" s="1"/>
      <c r="B1017" s="28"/>
      <c r="C1017" s="28"/>
      <c r="D1017" s="28"/>
      <c r="E1017" s="28"/>
      <c r="F1017" s="30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.75" customHeight="1">
      <c r="A1018" s="1"/>
      <c r="B1018" s="28"/>
      <c r="C1018" s="28"/>
      <c r="D1018" s="28"/>
      <c r="E1018" s="28"/>
      <c r="F1018" s="30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.75" customHeight="1">
      <c r="A1019" s="1"/>
      <c r="B1019" s="28"/>
      <c r="C1019" s="28"/>
      <c r="D1019" s="28"/>
      <c r="E1019" s="28"/>
      <c r="F1019" s="30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.75" customHeight="1">
      <c r="A1020" s="1"/>
      <c r="B1020" s="28"/>
      <c r="C1020" s="28"/>
      <c r="D1020" s="28"/>
      <c r="E1020" s="28"/>
      <c r="F1020" s="30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.75" customHeight="1">
      <c r="A1021" s="1"/>
      <c r="B1021" s="28"/>
      <c r="C1021" s="28"/>
      <c r="D1021" s="28"/>
      <c r="E1021" s="28"/>
      <c r="F1021" s="30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.75" customHeight="1">
      <c r="A1022" s="1"/>
      <c r="B1022" s="28"/>
      <c r="C1022" s="28"/>
      <c r="D1022" s="28"/>
      <c r="E1022" s="28"/>
      <c r="F1022" s="30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</sheetData>
  <mergeCells count="15">
    <mergeCell ref="B53:F53"/>
    <mergeCell ref="B54:F54"/>
    <mergeCell ref="B55:F55"/>
    <mergeCell ref="D1:F1"/>
    <mergeCell ref="C2:F2"/>
    <mergeCell ref="C3:F3"/>
    <mergeCell ref="C4:F4"/>
    <mergeCell ref="C5:F5"/>
    <mergeCell ref="C6:F6"/>
    <mergeCell ref="B7:F7"/>
    <mergeCell ref="B8:F8"/>
    <mergeCell ref="B9:F9"/>
    <mergeCell ref="B50:E50"/>
    <mergeCell ref="B51:F51"/>
    <mergeCell ref="B52:F52"/>
  </mergeCells>
  <conditionalFormatting sqref="E12:E47">
    <cfRule type="notContainsBlanks" dxfId="91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69"/>
  <sheetViews>
    <sheetView workbookViewId="0"/>
  </sheetViews>
  <sheetFormatPr baseColWidth="10" defaultColWidth="12.6640625" defaultRowHeight="15" customHeight="1"/>
  <cols>
    <col min="1" max="1" width="7.6640625" customWidth="1"/>
    <col min="2" max="2" width="49.1640625" customWidth="1"/>
    <col min="3" max="3" width="28.1640625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244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9" t="s">
        <v>11</v>
      </c>
    </row>
    <row r="12" spans="1:5" ht="15.75" customHeight="1">
      <c r="A12" s="11">
        <v>1</v>
      </c>
      <c r="B12" s="12" t="s">
        <v>246</v>
      </c>
      <c r="C12" s="13" t="s">
        <v>247</v>
      </c>
      <c r="D12" s="16">
        <v>272</v>
      </c>
      <c r="E12" s="14">
        <v>170471</v>
      </c>
    </row>
    <row r="13" spans="1:5" ht="15.75" customHeight="1">
      <c r="A13" s="11">
        <v>2</v>
      </c>
      <c r="B13" s="12" t="s">
        <v>248</v>
      </c>
      <c r="C13" s="13" t="s">
        <v>249</v>
      </c>
      <c r="D13" s="15">
        <v>520</v>
      </c>
      <c r="E13" s="18">
        <v>62000</v>
      </c>
    </row>
    <row r="14" spans="1:5" ht="15.75" customHeight="1">
      <c r="A14" s="11">
        <v>3</v>
      </c>
      <c r="B14" s="12" t="s">
        <v>250</v>
      </c>
      <c r="C14" s="13" t="s">
        <v>251</v>
      </c>
      <c r="D14" s="15">
        <v>115</v>
      </c>
      <c r="E14" s="14">
        <v>57030</v>
      </c>
    </row>
    <row r="15" spans="1:5" ht="15.75" customHeight="1">
      <c r="A15" s="11">
        <v>4</v>
      </c>
      <c r="B15" s="12" t="s">
        <v>252</v>
      </c>
      <c r="C15" s="13" t="s">
        <v>253</v>
      </c>
      <c r="D15" s="22">
        <v>1914</v>
      </c>
      <c r="E15" s="14">
        <v>28100</v>
      </c>
    </row>
    <row r="16" spans="1:5" ht="15.75" customHeight="1">
      <c r="A16" s="11">
        <v>5</v>
      </c>
      <c r="B16" s="12" t="s">
        <v>254</v>
      </c>
      <c r="C16" s="13" t="s">
        <v>255</v>
      </c>
      <c r="D16" s="15">
        <v>81118337</v>
      </c>
      <c r="E16" s="14">
        <v>11359</v>
      </c>
    </row>
    <row r="17" spans="1:5" ht="15.75" customHeight="1">
      <c r="A17" s="11">
        <v>6</v>
      </c>
      <c r="B17" s="12" t="s">
        <v>256</v>
      </c>
      <c r="C17" s="13" t="s">
        <v>17</v>
      </c>
      <c r="D17" s="15" t="s">
        <v>102</v>
      </c>
      <c r="E17" s="14">
        <v>1876</v>
      </c>
    </row>
    <row r="18" spans="1:5" ht="15.75" customHeight="1">
      <c r="A18" s="11">
        <v>7</v>
      </c>
      <c r="B18" s="12" t="s">
        <v>257</v>
      </c>
      <c r="C18" s="13" t="s">
        <v>258</v>
      </c>
      <c r="D18" s="15">
        <v>743</v>
      </c>
      <c r="E18" s="19">
        <v>32990</v>
      </c>
    </row>
    <row r="19" spans="1:5" ht="15.75" customHeight="1">
      <c r="A19" s="11">
        <v>8</v>
      </c>
      <c r="B19" s="17" t="s">
        <v>259</v>
      </c>
      <c r="C19" s="13" t="s">
        <v>260</v>
      </c>
      <c r="D19" s="15" t="s">
        <v>261</v>
      </c>
      <c r="E19" s="18">
        <v>19061</v>
      </c>
    </row>
    <row r="20" spans="1:5" ht="15.75" customHeight="1">
      <c r="A20" s="11">
        <v>9</v>
      </c>
      <c r="B20" s="17" t="s">
        <v>262</v>
      </c>
      <c r="C20" s="13" t="s">
        <v>263</v>
      </c>
      <c r="D20" s="15" t="s">
        <v>264</v>
      </c>
      <c r="E20" s="19">
        <v>48910</v>
      </c>
    </row>
    <row r="21" spans="1:5" ht="15.75" customHeight="1">
      <c r="A21" s="11">
        <v>10</v>
      </c>
      <c r="B21" s="17" t="s">
        <v>265</v>
      </c>
      <c r="C21" s="13" t="s">
        <v>218</v>
      </c>
      <c r="D21" s="15">
        <v>869</v>
      </c>
      <c r="E21" s="18">
        <v>25500</v>
      </c>
    </row>
    <row r="22" spans="1:5" ht="15.75" customHeight="1">
      <c r="A22" s="11">
        <v>11</v>
      </c>
      <c r="B22" s="12" t="s">
        <v>266</v>
      </c>
      <c r="C22" s="13" t="s">
        <v>267</v>
      </c>
      <c r="D22" s="15">
        <v>383</v>
      </c>
      <c r="E22" s="18">
        <v>42000</v>
      </c>
    </row>
    <row r="23" spans="1:5" ht="15.75" customHeight="1">
      <c r="A23" s="11">
        <v>12</v>
      </c>
      <c r="B23" s="37" t="s">
        <v>268</v>
      </c>
      <c r="C23" s="38" t="s">
        <v>269</v>
      </c>
      <c r="D23" s="22">
        <v>5309</v>
      </c>
      <c r="E23" s="18">
        <v>17000</v>
      </c>
    </row>
    <row r="24" spans="1:5" ht="15.75" customHeight="1">
      <c r="A24" s="11">
        <v>13</v>
      </c>
      <c r="B24" s="21" t="s">
        <v>270</v>
      </c>
      <c r="C24" s="13" t="s">
        <v>271</v>
      </c>
      <c r="D24" s="22">
        <v>1243</v>
      </c>
      <c r="E24" s="18">
        <v>51865</v>
      </c>
    </row>
    <row r="25" spans="1:5" ht="15.75" customHeight="1">
      <c r="A25" s="11">
        <v>14</v>
      </c>
      <c r="B25" s="21" t="s">
        <v>272</v>
      </c>
      <c r="C25" s="13" t="s">
        <v>81</v>
      </c>
      <c r="D25" s="23" t="s">
        <v>273</v>
      </c>
      <c r="E25" s="18">
        <v>38000</v>
      </c>
    </row>
    <row r="26" spans="1:5" ht="15.75" customHeight="1">
      <c r="A26" s="11">
        <v>15</v>
      </c>
      <c r="B26" s="21" t="s">
        <v>274</v>
      </c>
      <c r="C26" s="13" t="s">
        <v>195</v>
      </c>
      <c r="D26" s="23">
        <v>911</v>
      </c>
      <c r="E26" s="18">
        <v>2050</v>
      </c>
    </row>
    <row r="27" spans="1:5" ht="15.75" customHeight="1">
      <c r="A27" s="11">
        <v>16</v>
      </c>
      <c r="B27" s="12" t="s">
        <v>275</v>
      </c>
      <c r="C27" s="13" t="s">
        <v>81</v>
      </c>
      <c r="D27" s="23" t="s">
        <v>276</v>
      </c>
      <c r="E27" s="19">
        <v>22210</v>
      </c>
    </row>
    <row r="28" spans="1:5" ht="15.75" customHeight="1">
      <c r="A28" s="11">
        <v>17</v>
      </c>
      <c r="B28" s="35" t="s">
        <v>277</v>
      </c>
      <c r="C28" s="13" t="s">
        <v>139</v>
      </c>
      <c r="D28" s="39">
        <v>98</v>
      </c>
      <c r="E28" s="14">
        <v>197858</v>
      </c>
    </row>
    <row r="29" spans="1:5" ht="15.75" customHeight="1">
      <c r="A29" s="11">
        <v>18</v>
      </c>
      <c r="B29" s="12" t="s">
        <v>278</v>
      </c>
      <c r="C29" s="13" t="s">
        <v>56</v>
      </c>
      <c r="D29" s="15">
        <v>596</v>
      </c>
      <c r="E29" s="14">
        <v>89255</v>
      </c>
    </row>
    <row r="30" spans="1:5" ht="15.75" customHeight="1">
      <c r="A30" s="11">
        <v>19</v>
      </c>
      <c r="B30" s="12" t="s">
        <v>279</v>
      </c>
      <c r="C30" s="13" t="s">
        <v>280</v>
      </c>
      <c r="D30" s="15">
        <v>521</v>
      </c>
      <c r="E30" s="19">
        <v>7400</v>
      </c>
    </row>
    <row r="31" spans="1:5" ht="15.75" customHeight="1">
      <c r="A31" s="11">
        <v>20</v>
      </c>
      <c r="B31" s="12" t="s">
        <v>281</v>
      </c>
      <c r="C31" s="13" t="s">
        <v>260</v>
      </c>
      <c r="D31" s="20" t="s">
        <v>282</v>
      </c>
      <c r="E31" s="19">
        <v>33722.300000000003</v>
      </c>
    </row>
    <row r="32" spans="1:5" ht="15.75" customHeight="1">
      <c r="A32" s="11">
        <v>21</v>
      </c>
      <c r="B32" s="21" t="s">
        <v>283</v>
      </c>
      <c r="C32" s="13" t="s">
        <v>284</v>
      </c>
      <c r="D32" s="23">
        <v>3580</v>
      </c>
      <c r="E32" s="18">
        <v>2927.5</v>
      </c>
    </row>
    <row r="33" spans="1:5" ht="15.75" customHeight="1">
      <c r="A33" s="11">
        <v>22</v>
      </c>
      <c r="B33" s="21" t="s">
        <v>285</v>
      </c>
      <c r="C33" s="13" t="s">
        <v>81</v>
      </c>
      <c r="D33" s="23" t="s">
        <v>286</v>
      </c>
      <c r="E33" s="18">
        <v>6600</v>
      </c>
    </row>
    <row r="34" spans="1:5" ht="15.75" customHeight="1">
      <c r="A34" s="11">
        <v>23</v>
      </c>
      <c r="B34" s="21" t="s">
        <v>287</v>
      </c>
      <c r="C34" s="40" t="s">
        <v>288</v>
      </c>
      <c r="D34" s="23" t="s">
        <v>289</v>
      </c>
      <c r="E34" s="18">
        <v>26957.7</v>
      </c>
    </row>
    <row r="35" spans="1:5" ht="15.75" customHeight="1">
      <c r="A35" s="11">
        <v>24</v>
      </c>
      <c r="B35" s="21" t="s">
        <v>290</v>
      </c>
      <c r="C35" s="13" t="s">
        <v>195</v>
      </c>
      <c r="D35" s="23">
        <v>1611</v>
      </c>
      <c r="E35" s="18">
        <v>25507.11</v>
      </c>
    </row>
    <row r="36" spans="1:5" ht="15.75" customHeight="1">
      <c r="A36" s="11">
        <v>25</v>
      </c>
      <c r="B36" s="21" t="s">
        <v>291</v>
      </c>
      <c r="C36" s="13" t="s">
        <v>292</v>
      </c>
      <c r="D36" s="23">
        <v>4514</v>
      </c>
      <c r="E36" s="18">
        <v>10796</v>
      </c>
    </row>
    <row r="37" spans="1:5" ht="15.75" customHeight="1">
      <c r="A37" s="11">
        <v>26</v>
      </c>
      <c r="B37" s="21" t="s">
        <v>293</v>
      </c>
      <c r="C37" s="13" t="s">
        <v>56</v>
      </c>
      <c r="D37" s="23">
        <v>603</v>
      </c>
      <c r="E37" s="18">
        <v>6400</v>
      </c>
    </row>
    <row r="38" spans="1:5" ht="15.75" customHeight="1">
      <c r="A38" s="11">
        <v>27</v>
      </c>
      <c r="B38" s="21" t="s">
        <v>294</v>
      </c>
      <c r="C38" s="40" t="s">
        <v>288</v>
      </c>
      <c r="D38" s="23">
        <v>18182</v>
      </c>
      <c r="E38" s="18">
        <v>14584</v>
      </c>
    </row>
    <row r="39" spans="1:5" ht="15.75" customHeight="1">
      <c r="A39" s="11">
        <v>28</v>
      </c>
      <c r="B39" s="21" t="s">
        <v>295</v>
      </c>
      <c r="C39" s="13" t="s">
        <v>81</v>
      </c>
      <c r="D39" s="23" t="s">
        <v>296</v>
      </c>
      <c r="E39" s="18">
        <v>66276</v>
      </c>
    </row>
    <row r="40" spans="1:5" ht="15.75" customHeight="1">
      <c r="A40" s="11">
        <v>29</v>
      </c>
      <c r="B40" s="21" t="s">
        <v>297</v>
      </c>
      <c r="C40" s="13" t="s">
        <v>48</v>
      </c>
      <c r="D40" s="23" t="s">
        <v>298</v>
      </c>
      <c r="E40" s="18">
        <v>1317.84</v>
      </c>
    </row>
    <row r="41" spans="1:5" ht="15.75" customHeight="1">
      <c r="A41" s="11">
        <v>30</v>
      </c>
      <c r="B41" s="21" t="s">
        <v>299</v>
      </c>
      <c r="C41" s="13" t="s">
        <v>300</v>
      </c>
      <c r="D41" s="23">
        <v>741</v>
      </c>
      <c r="E41" s="18">
        <v>1380</v>
      </c>
    </row>
    <row r="42" spans="1:5" ht="15.75" customHeight="1">
      <c r="A42" s="11">
        <v>31</v>
      </c>
      <c r="B42" s="21" t="s">
        <v>301</v>
      </c>
      <c r="C42" s="13" t="s">
        <v>48</v>
      </c>
      <c r="D42" s="23" t="s">
        <v>302</v>
      </c>
      <c r="E42" s="18">
        <v>155735.76</v>
      </c>
    </row>
    <row r="43" spans="1:5" ht="15.75" customHeight="1">
      <c r="A43" s="11">
        <v>32</v>
      </c>
      <c r="B43" s="21" t="s">
        <v>303</v>
      </c>
      <c r="C43" s="13" t="s">
        <v>195</v>
      </c>
      <c r="D43" s="23">
        <v>2111</v>
      </c>
      <c r="E43" s="18">
        <v>62411</v>
      </c>
    </row>
    <row r="44" spans="1:5" ht="15.75" customHeight="1">
      <c r="A44" s="11">
        <v>33</v>
      </c>
      <c r="B44" s="21" t="s">
        <v>304</v>
      </c>
      <c r="C44" s="13" t="s">
        <v>143</v>
      </c>
      <c r="D44" s="23">
        <v>628</v>
      </c>
      <c r="E44" s="18">
        <v>52800</v>
      </c>
    </row>
    <row r="45" spans="1:5" ht="15.75" customHeight="1">
      <c r="A45" s="11">
        <v>34</v>
      </c>
      <c r="B45" s="21" t="s">
        <v>305</v>
      </c>
      <c r="C45" s="13" t="s">
        <v>195</v>
      </c>
      <c r="D45" s="32">
        <v>2211</v>
      </c>
      <c r="E45" s="18">
        <v>8000</v>
      </c>
    </row>
    <row r="46" spans="1:5" ht="15.75" customHeight="1">
      <c r="A46" s="11">
        <v>35</v>
      </c>
      <c r="B46" s="21" t="s">
        <v>306</v>
      </c>
      <c r="C46" s="13" t="s">
        <v>81</v>
      </c>
      <c r="D46" s="32" t="s">
        <v>307</v>
      </c>
      <c r="E46" s="18">
        <v>610</v>
      </c>
    </row>
    <row r="47" spans="1:5" ht="15.75" customHeight="1">
      <c r="A47" s="11">
        <v>36</v>
      </c>
      <c r="B47" s="21" t="s">
        <v>308</v>
      </c>
      <c r="C47" s="13" t="s">
        <v>309</v>
      </c>
      <c r="D47" s="32" t="s">
        <v>310</v>
      </c>
      <c r="E47" s="18">
        <v>63554.64</v>
      </c>
    </row>
    <row r="48" spans="1:5" ht="15.75" customHeight="1">
      <c r="A48" s="11">
        <v>37</v>
      </c>
      <c r="B48" s="21" t="s">
        <v>311</v>
      </c>
      <c r="C48" s="13" t="s">
        <v>195</v>
      </c>
      <c r="D48" s="32">
        <v>2711</v>
      </c>
      <c r="E48" s="18">
        <v>16090</v>
      </c>
    </row>
    <row r="49" spans="1:5" ht="15.75" customHeight="1">
      <c r="A49" s="11">
        <v>38</v>
      </c>
      <c r="B49" s="21" t="s">
        <v>312</v>
      </c>
      <c r="C49" s="13" t="s">
        <v>313</v>
      </c>
      <c r="D49" s="32">
        <v>522</v>
      </c>
      <c r="E49" s="18">
        <v>15060</v>
      </c>
    </row>
    <row r="50" spans="1:5" ht="15.75" customHeight="1">
      <c r="A50" s="11">
        <v>39</v>
      </c>
      <c r="B50" s="21" t="s">
        <v>314</v>
      </c>
      <c r="C50" s="13" t="s">
        <v>104</v>
      </c>
      <c r="D50" s="32" t="s">
        <v>315</v>
      </c>
      <c r="E50" s="18">
        <v>10458</v>
      </c>
    </row>
    <row r="51" spans="1:5" ht="15.75" customHeight="1">
      <c r="A51" s="11">
        <v>40</v>
      </c>
      <c r="B51" s="21" t="s">
        <v>316</v>
      </c>
      <c r="C51" s="13" t="s">
        <v>317</v>
      </c>
      <c r="D51" s="32" t="s">
        <v>318</v>
      </c>
      <c r="E51" s="18">
        <v>234795</v>
      </c>
    </row>
    <row r="52" spans="1:5" ht="15.75" customHeight="1">
      <c r="A52" s="11">
        <v>41</v>
      </c>
      <c r="B52" s="21" t="s">
        <v>319</v>
      </c>
      <c r="C52" s="13" t="s">
        <v>181</v>
      </c>
      <c r="D52" s="32" t="s">
        <v>320</v>
      </c>
      <c r="E52" s="18">
        <v>6426</v>
      </c>
    </row>
    <row r="53" spans="1:5" ht="15.75" customHeight="1">
      <c r="A53" s="11">
        <v>42</v>
      </c>
      <c r="B53" s="21" t="s">
        <v>321</v>
      </c>
      <c r="C53" s="13" t="s">
        <v>322</v>
      </c>
      <c r="D53" s="32" t="s">
        <v>323</v>
      </c>
      <c r="E53" s="18">
        <v>36221.199999999997</v>
      </c>
    </row>
    <row r="54" spans="1:5" ht="15.75" customHeight="1">
      <c r="A54" s="11">
        <v>43</v>
      </c>
      <c r="B54" s="21" t="s">
        <v>324</v>
      </c>
      <c r="C54" s="13" t="s">
        <v>232</v>
      </c>
      <c r="D54" s="32">
        <v>3794</v>
      </c>
      <c r="E54" s="18">
        <v>6094.45</v>
      </c>
    </row>
    <row r="55" spans="1:5" ht="15.75" customHeight="1">
      <c r="A55" s="11">
        <v>44</v>
      </c>
      <c r="B55" s="21" t="s">
        <v>109</v>
      </c>
      <c r="C55" s="13" t="s">
        <v>242</v>
      </c>
      <c r="D55" s="32" t="s">
        <v>102</v>
      </c>
      <c r="E55" s="18">
        <v>3244.8</v>
      </c>
    </row>
    <row r="56" spans="1:5" ht="15.75" customHeight="1">
      <c r="A56" s="11">
        <v>45</v>
      </c>
      <c r="B56" s="21" t="s">
        <v>325</v>
      </c>
      <c r="C56" s="13" t="s">
        <v>269</v>
      </c>
      <c r="D56" s="32">
        <v>5711</v>
      </c>
      <c r="E56" s="18">
        <v>13800</v>
      </c>
    </row>
    <row r="57" spans="1:5" ht="15.75" customHeight="1">
      <c r="A57" s="11">
        <v>46</v>
      </c>
      <c r="B57" s="21" t="s">
        <v>326</v>
      </c>
      <c r="C57" s="13" t="s">
        <v>327</v>
      </c>
      <c r="D57" s="32">
        <v>2409</v>
      </c>
      <c r="E57" s="18">
        <v>41630</v>
      </c>
    </row>
    <row r="58" spans="1:5" ht="15.75" customHeight="1">
      <c r="A58" s="11">
        <v>47</v>
      </c>
      <c r="B58" s="21" t="s">
        <v>328</v>
      </c>
      <c r="C58" s="13" t="s">
        <v>329</v>
      </c>
      <c r="D58" s="32" t="s">
        <v>330</v>
      </c>
      <c r="E58" s="18">
        <v>457900.97</v>
      </c>
    </row>
    <row r="59" spans="1:5" ht="15.75" customHeight="1">
      <c r="A59" s="11">
        <v>48</v>
      </c>
      <c r="B59" s="41" t="s">
        <v>331</v>
      </c>
      <c r="C59" s="42" t="s">
        <v>332</v>
      </c>
      <c r="D59" s="43">
        <v>5727</v>
      </c>
      <c r="E59" s="44">
        <v>8600</v>
      </c>
    </row>
    <row r="60" spans="1:5" ht="15.75" customHeight="1">
      <c r="A60" s="11">
        <v>49</v>
      </c>
      <c r="B60" s="45" t="s">
        <v>333</v>
      </c>
      <c r="C60" s="46" t="s">
        <v>334</v>
      </c>
      <c r="D60" s="47">
        <v>83219099</v>
      </c>
      <c r="E60" s="48">
        <v>52013</v>
      </c>
    </row>
    <row r="61" spans="1:5" ht="15.75" customHeight="1">
      <c r="A61" s="11">
        <v>50</v>
      </c>
      <c r="B61" s="45" t="s">
        <v>335</v>
      </c>
      <c r="C61" s="46" t="s">
        <v>336</v>
      </c>
      <c r="D61" s="47" t="s">
        <v>337</v>
      </c>
      <c r="E61" s="48">
        <v>63450</v>
      </c>
    </row>
    <row r="62" spans="1:5" ht="15.75" customHeight="1">
      <c r="A62" s="8" t="s">
        <v>24</v>
      </c>
      <c r="B62" s="203"/>
      <c r="C62" s="204"/>
      <c r="D62" s="205"/>
      <c r="E62" s="49">
        <f>SUM(E12:E61)</f>
        <v>2430298.2699999996</v>
      </c>
    </row>
    <row r="63" spans="1:5" ht="15.75" customHeight="1">
      <c r="A63" s="198"/>
      <c r="B63" s="196"/>
      <c r="C63" s="196"/>
      <c r="D63" s="196"/>
      <c r="E63" s="196"/>
    </row>
    <row r="64" spans="1:5" ht="15.75" customHeight="1">
      <c r="A64" s="198" t="s">
        <v>121</v>
      </c>
      <c r="B64" s="196"/>
      <c r="C64" s="196"/>
      <c r="D64" s="196"/>
      <c r="E64" s="27">
        <f>E62*2%+E17</f>
        <v>50481.965399999994</v>
      </c>
    </row>
    <row r="65" spans="1:5" ht="14.25" customHeight="1">
      <c r="A65" s="198" t="s">
        <v>25</v>
      </c>
      <c r="B65" s="196"/>
      <c r="C65" s="196"/>
      <c r="D65" s="196"/>
      <c r="E65" s="196"/>
    </row>
    <row r="66" spans="1:5" ht="35.25" customHeight="1">
      <c r="A66" s="198"/>
      <c r="B66" s="196"/>
      <c r="C66" s="196"/>
      <c r="D66" s="196"/>
      <c r="E66" s="196"/>
    </row>
    <row r="67" spans="1:5" ht="15.75" customHeight="1">
      <c r="A67" s="198" t="s">
        <v>26</v>
      </c>
      <c r="B67" s="196"/>
      <c r="C67" s="196"/>
      <c r="D67" s="196"/>
      <c r="E67" s="196"/>
    </row>
    <row r="68" spans="1:5" ht="15.75" customHeight="1">
      <c r="A68" s="198" t="s">
        <v>27</v>
      </c>
      <c r="B68" s="196"/>
      <c r="C68" s="196"/>
      <c r="D68" s="196"/>
      <c r="E68" s="196"/>
    </row>
    <row r="69" spans="1:5" ht="15.75" customHeight="1">
      <c r="A69" s="198" t="s">
        <v>28</v>
      </c>
      <c r="B69" s="196"/>
      <c r="C69" s="196"/>
      <c r="D69" s="196"/>
      <c r="E69" s="196"/>
    </row>
  </sheetData>
  <mergeCells count="18">
    <mergeCell ref="A69:E69"/>
    <mergeCell ref="A8:E8"/>
    <mergeCell ref="A9:E9"/>
    <mergeCell ref="A10:E10"/>
    <mergeCell ref="B62:D62"/>
    <mergeCell ref="A63:E63"/>
    <mergeCell ref="A64:D64"/>
    <mergeCell ref="A65:E65"/>
    <mergeCell ref="A6:E6"/>
    <mergeCell ref="A7:E7"/>
    <mergeCell ref="A66:E66"/>
    <mergeCell ref="A67:E67"/>
    <mergeCell ref="A68:E68"/>
    <mergeCell ref="A1:E1"/>
    <mergeCell ref="A2:E2"/>
    <mergeCell ref="A3:E3"/>
    <mergeCell ref="A4:E4"/>
    <mergeCell ref="A5:E5"/>
  </mergeCells>
  <conditionalFormatting sqref="E12:E61">
    <cfRule type="notContainsBlanks" dxfId="90" priority="1">
      <formula>LEN(TRIM(E12))&gt;0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70"/>
  <sheetViews>
    <sheetView workbookViewId="0"/>
  </sheetViews>
  <sheetFormatPr baseColWidth="10" defaultColWidth="12.6640625" defaultRowHeight="15" customHeight="1"/>
  <cols>
    <col min="1" max="1" width="5.5" customWidth="1"/>
    <col min="2" max="2" width="49.1640625" customWidth="1"/>
    <col min="3" max="3" width="28.1640625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338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9" t="s">
        <v>11</v>
      </c>
    </row>
    <row r="12" spans="1:5" ht="15.75" customHeight="1">
      <c r="A12" s="11">
        <v>1</v>
      </c>
      <c r="B12" s="12" t="s">
        <v>339</v>
      </c>
      <c r="C12" s="13" t="s">
        <v>340</v>
      </c>
      <c r="D12" s="16" t="s">
        <v>341</v>
      </c>
      <c r="E12" s="14">
        <v>130536</v>
      </c>
    </row>
    <row r="13" spans="1:5" ht="15.75" customHeight="1">
      <c r="A13" s="11">
        <v>2</v>
      </c>
      <c r="B13" s="12" t="s">
        <v>342</v>
      </c>
      <c r="C13" s="13" t="s">
        <v>17</v>
      </c>
      <c r="D13" s="15" t="s">
        <v>243</v>
      </c>
      <c r="E13" s="18">
        <v>5700</v>
      </c>
    </row>
    <row r="14" spans="1:5" ht="15.75" customHeight="1">
      <c r="A14" s="11">
        <v>3</v>
      </c>
      <c r="B14" s="12" t="s">
        <v>343</v>
      </c>
      <c r="C14" s="13" t="s">
        <v>340</v>
      </c>
      <c r="D14" s="16" t="s">
        <v>344</v>
      </c>
      <c r="E14" s="14">
        <v>67830</v>
      </c>
    </row>
    <row r="15" spans="1:5" ht="15.75" customHeight="1">
      <c r="A15" s="11">
        <v>4</v>
      </c>
      <c r="B15" s="12" t="s">
        <v>345</v>
      </c>
      <c r="C15" s="13" t="s">
        <v>346</v>
      </c>
      <c r="D15" s="22">
        <v>2419</v>
      </c>
      <c r="E15" s="14">
        <v>127724</v>
      </c>
    </row>
    <row r="16" spans="1:5" ht="15.75" customHeight="1">
      <c r="A16" s="11">
        <v>5</v>
      </c>
      <c r="B16" s="12" t="s">
        <v>347</v>
      </c>
      <c r="C16" s="13" t="s">
        <v>348</v>
      </c>
      <c r="D16" s="15">
        <v>527</v>
      </c>
      <c r="E16" s="14">
        <v>77788</v>
      </c>
    </row>
    <row r="17" spans="1:5" ht="15.75" customHeight="1">
      <c r="A17" s="11">
        <v>6</v>
      </c>
      <c r="B17" s="12" t="s">
        <v>349</v>
      </c>
      <c r="C17" s="13" t="s">
        <v>350</v>
      </c>
      <c r="D17" s="15" t="s">
        <v>351</v>
      </c>
      <c r="E17" s="14">
        <v>103300</v>
      </c>
    </row>
    <row r="18" spans="1:5" ht="15.75" customHeight="1">
      <c r="A18" s="11">
        <v>7</v>
      </c>
      <c r="B18" s="12" t="s">
        <v>352</v>
      </c>
      <c r="C18" s="13" t="s">
        <v>353</v>
      </c>
      <c r="D18" s="15">
        <v>1426</v>
      </c>
      <c r="E18" s="19">
        <v>202880</v>
      </c>
    </row>
    <row r="19" spans="1:5" ht="15.75" customHeight="1">
      <c r="A19" s="11">
        <v>8</v>
      </c>
      <c r="B19" s="17" t="s">
        <v>354</v>
      </c>
      <c r="C19" s="13" t="s">
        <v>355</v>
      </c>
      <c r="D19" s="15">
        <v>901</v>
      </c>
      <c r="E19" s="18">
        <v>5000</v>
      </c>
    </row>
    <row r="20" spans="1:5" ht="15.75" customHeight="1">
      <c r="A20" s="11">
        <v>9</v>
      </c>
      <c r="B20" s="17" t="s">
        <v>356</v>
      </c>
      <c r="C20" s="13" t="s">
        <v>14</v>
      </c>
      <c r="D20" s="15">
        <v>295</v>
      </c>
      <c r="E20" s="19">
        <v>26300</v>
      </c>
    </row>
    <row r="21" spans="1:5" ht="15.75" customHeight="1">
      <c r="A21" s="11">
        <v>10</v>
      </c>
      <c r="B21" s="17" t="s">
        <v>357</v>
      </c>
      <c r="C21" s="13" t="s">
        <v>358</v>
      </c>
      <c r="D21" s="15">
        <v>59</v>
      </c>
      <c r="E21" s="18">
        <v>147514</v>
      </c>
    </row>
    <row r="22" spans="1:5" ht="15.75" customHeight="1">
      <c r="A22" s="11">
        <v>11</v>
      </c>
      <c r="B22" s="17" t="s">
        <v>359</v>
      </c>
      <c r="C22" s="13" t="s">
        <v>358</v>
      </c>
      <c r="D22" s="15">
        <v>38</v>
      </c>
      <c r="E22" s="18">
        <v>199856</v>
      </c>
    </row>
    <row r="23" spans="1:5" ht="15.75" customHeight="1">
      <c r="A23" s="11">
        <v>12</v>
      </c>
      <c r="B23" s="37" t="s">
        <v>360</v>
      </c>
      <c r="C23" s="38" t="s">
        <v>16</v>
      </c>
      <c r="D23" s="22">
        <v>625</v>
      </c>
      <c r="E23" s="18">
        <v>23100</v>
      </c>
    </row>
    <row r="24" spans="1:5" ht="15.75" customHeight="1">
      <c r="A24" s="11">
        <v>13</v>
      </c>
      <c r="B24" s="21" t="s">
        <v>361</v>
      </c>
      <c r="C24" s="13" t="s">
        <v>71</v>
      </c>
      <c r="D24" s="22">
        <v>6408221</v>
      </c>
      <c r="E24" s="18">
        <v>7130</v>
      </c>
    </row>
    <row r="25" spans="1:5" ht="15.75" customHeight="1">
      <c r="A25" s="11">
        <v>14</v>
      </c>
      <c r="B25" s="21" t="s">
        <v>362</v>
      </c>
      <c r="C25" s="13" t="s">
        <v>363</v>
      </c>
      <c r="D25" s="23" t="s">
        <v>364</v>
      </c>
      <c r="E25" s="18">
        <v>386111</v>
      </c>
    </row>
    <row r="26" spans="1:5" ht="15.75" customHeight="1">
      <c r="A26" s="11">
        <v>15</v>
      </c>
      <c r="B26" s="21" t="s">
        <v>365</v>
      </c>
      <c r="C26" s="13" t="s">
        <v>363</v>
      </c>
      <c r="D26" s="23" t="s">
        <v>366</v>
      </c>
      <c r="E26" s="18">
        <v>206091</v>
      </c>
    </row>
    <row r="27" spans="1:5" ht="15.75" customHeight="1">
      <c r="A27" s="11">
        <v>16</v>
      </c>
      <c r="B27" s="12" t="s">
        <v>367</v>
      </c>
      <c r="C27" s="13" t="s">
        <v>368</v>
      </c>
      <c r="D27" s="23">
        <v>1478</v>
      </c>
      <c r="E27" s="19">
        <v>16733</v>
      </c>
    </row>
    <row r="28" spans="1:5" ht="15.75" customHeight="1">
      <c r="A28" s="11">
        <v>17</v>
      </c>
      <c r="B28" s="35" t="s">
        <v>369</v>
      </c>
      <c r="C28" s="13" t="s">
        <v>370</v>
      </c>
      <c r="D28" s="39">
        <v>135654</v>
      </c>
      <c r="E28" s="14">
        <v>12016.8</v>
      </c>
    </row>
    <row r="29" spans="1:5" ht="15.75" customHeight="1">
      <c r="A29" s="11">
        <v>18</v>
      </c>
      <c r="B29" s="12" t="s">
        <v>371</v>
      </c>
      <c r="C29" s="13" t="s">
        <v>372</v>
      </c>
      <c r="D29" s="15">
        <v>89489743</v>
      </c>
      <c r="E29" s="14">
        <v>119900</v>
      </c>
    </row>
    <row r="30" spans="1:5" ht="15.75" customHeight="1">
      <c r="A30" s="11">
        <v>19</v>
      </c>
      <c r="B30" s="12" t="s">
        <v>373</v>
      </c>
      <c r="C30" s="13" t="s">
        <v>19</v>
      </c>
      <c r="D30" s="15" t="s">
        <v>374</v>
      </c>
      <c r="E30" s="19">
        <v>95834</v>
      </c>
    </row>
    <row r="31" spans="1:5" ht="15.75" customHeight="1">
      <c r="A31" s="11">
        <v>20</v>
      </c>
      <c r="B31" s="12" t="s">
        <v>375</v>
      </c>
      <c r="C31" s="13" t="s">
        <v>350</v>
      </c>
      <c r="D31" s="20" t="s">
        <v>376</v>
      </c>
      <c r="E31" s="19">
        <v>3579</v>
      </c>
    </row>
    <row r="32" spans="1:5" ht="15.75" customHeight="1">
      <c r="A32" s="11">
        <v>21</v>
      </c>
      <c r="B32" s="21" t="s">
        <v>377</v>
      </c>
      <c r="C32" s="13" t="s">
        <v>378</v>
      </c>
      <c r="D32" s="23">
        <v>2012</v>
      </c>
      <c r="E32" s="18">
        <v>21385</v>
      </c>
    </row>
    <row r="33" spans="1:5" ht="15.75" customHeight="1">
      <c r="A33" s="11">
        <v>22</v>
      </c>
      <c r="B33" s="21" t="s">
        <v>379</v>
      </c>
      <c r="C33" s="13" t="s">
        <v>380</v>
      </c>
      <c r="D33" s="23">
        <v>275873</v>
      </c>
      <c r="E33" s="18">
        <v>14340</v>
      </c>
    </row>
    <row r="34" spans="1:5" ht="15.75" customHeight="1">
      <c r="A34" s="11">
        <v>23</v>
      </c>
      <c r="B34" s="21" t="s">
        <v>381</v>
      </c>
      <c r="C34" s="40" t="s">
        <v>211</v>
      </c>
      <c r="D34" s="23">
        <v>548</v>
      </c>
      <c r="E34" s="18">
        <v>108530</v>
      </c>
    </row>
    <row r="35" spans="1:5" ht="15.75" customHeight="1">
      <c r="A35" s="11">
        <v>24</v>
      </c>
      <c r="B35" s="21" t="s">
        <v>382</v>
      </c>
      <c r="C35" s="13" t="s">
        <v>383</v>
      </c>
      <c r="D35" s="23" t="s">
        <v>384</v>
      </c>
      <c r="E35" s="18">
        <v>23040</v>
      </c>
    </row>
    <row r="36" spans="1:5" ht="15.75" customHeight="1">
      <c r="A36" s="11">
        <v>25</v>
      </c>
      <c r="B36" s="21" t="s">
        <v>385</v>
      </c>
      <c r="C36" s="13" t="s">
        <v>363</v>
      </c>
      <c r="D36" s="23" t="s">
        <v>386</v>
      </c>
      <c r="E36" s="18">
        <v>47720</v>
      </c>
    </row>
    <row r="37" spans="1:5" ht="15.75" customHeight="1">
      <c r="A37" s="11">
        <v>26</v>
      </c>
      <c r="B37" s="21" t="s">
        <v>387</v>
      </c>
      <c r="C37" s="13" t="s">
        <v>96</v>
      </c>
      <c r="D37" s="23" t="s">
        <v>388</v>
      </c>
      <c r="E37" s="18">
        <v>21771</v>
      </c>
    </row>
    <row r="38" spans="1:5" ht="15.75" customHeight="1">
      <c r="A38" s="11">
        <v>27</v>
      </c>
      <c r="B38" s="21" t="s">
        <v>389</v>
      </c>
      <c r="C38" s="40" t="s">
        <v>378</v>
      </c>
      <c r="D38" s="23">
        <v>2312</v>
      </c>
      <c r="E38" s="18">
        <v>3200</v>
      </c>
    </row>
    <row r="39" spans="1:5" ht="15.75" customHeight="1">
      <c r="A39" s="11">
        <v>28</v>
      </c>
      <c r="B39" s="21" t="s">
        <v>390</v>
      </c>
      <c r="C39" s="13" t="s">
        <v>391</v>
      </c>
      <c r="D39" s="23">
        <v>139</v>
      </c>
      <c r="E39" s="18">
        <v>10650</v>
      </c>
    </row>
    <row r="40" spans="1:5" ht="15.75" customHeight="1">
      <c r="A40" s="11">
        <v>29</v>
      </c>
      <c r="B40" s="21" t="s">
        <v>392</v>
      </c>
      <c r="C40" s="13" t="s">
        <v>393</v>
      </c>
      <c r="D40" s="23">
        <v>1865</v>
      </c>
      <c r="E40" s="18">
        <v>193209</v>
      </c>
    </row>
    <row r="41" spans="1:5" ht="15.75" customHeight="1">
      <c r="A41" s="11">
        <v>30</v>
      </c>
      <c r="B41" s="21" t="s">
        <v>394</v>
      </c>
      <c r="C41" s="13" t="s">
        <v>395</v>
      </c>
      <c r="D41" s="23" t="s">
        <v>396</v>
      </c>
      <c r="E41" s="18">
        <v>7489</v>
      </c>
    </row>
    <row r="42" spans="1:5" ht="15.75" customHeight="1">
      <c r="A42" s="11">
        <v>31</v>
      </c>
      <c r="B42" s="21" t="s">
        <v>397</v>
      </c>
      <c r="C42" s="13" t="s">
        <v>398</v>
      </c>
      <c r="D42" s="23">
        <v>6457193</v>
      </c>
      <c r="E42" s="18">
        <v>9855</v>
      </c>
    </row>
    <row r="43" spans="1:5" ht="15.75" customHeight="1">
      <c r="A43" s="11">
        <v>32</v>
      </c>
      <c r="B43" s="21" t="s">
        <v>399</v>
      </c>
      <c r="C43" s="13" t="s">
        <v>400</v>
      </c>
      <c r="D43" s="23" t="s">
        <v>401</v>
      </c>
      <c r="E43" s="18">
        <v>18720</v>
      </c>
    </row>
    <row r="44" spans="1:5" ht="15.75" customHeight="1">
      <c r="A44" s="11">
        <v>33</v>
      </c>
      <c r="B44" s="21" t="s">
        <v>402</v>
      </c>
      <c r="C44" s="50" t="s">
        <v>403</v>
      </c>
      <c r="D44" s="23" t="s">
        <v>404</v>
      </c>
      <c r="E44" s="18">
        <v>4200</v>
      </c>
    </row>
    <row r="45" spans="1:5" ht="15.75" customHeight="1">
      <c r="A45" s="11">
        <v>34</v>
      </c>
      <c r="B45" s="21" t="s">
        <v>405</v>
      </c>
      <c r="C45" s="13" t="s">
        <v>195</v>
      </c>
      <c r="D45" s="32">
        <v>2712</v>
      </c>
      <c r="E45" s="18">
        <v>6104</v>
      </c>
    </row>
    <row r="46" spans="1:5" ht="15.75" customHeight="1">
      <c r="A46" s="11">
        <v>35</v>
      </c>
      <c r="B46" s="21" t="s">
        <v>406</v>
      </c>
      <c r="C46" s="13" t="s">
        <v>17</v>
      </c>
      <c r="D46" s="32" t="s">
        <v>18</v>
      </c>
      <c r="E46" s="18">
        <v>266000</v>
      </c>
    </row>
    <row r="47" spans="1:5" ht="15.75" customHeight="1">
      <c r="A47" s="11">
        <v>36</v>
      </c>
      <c r="B47" s="21" t="s">
        <v>407</v>
      </c>
      <c r="C47" s="13" t="s">
        <v>124</v>
      </c>
      <c r="D47" s="32">
        <v>5067</v>
      </c>
      <c r="E47" s="18">
        <v>66748</v>
      </c>
    </row>
    <row r="48" spans="1:5" ht="15.75" customHeight="1">
      <c r="A48" s="11">
        <v>37</v>
      </c>
      <c r="B48" s="21" t="s">
        <v>408</v>
      </c>
      <c r="C48" s="13" t="s">
        <v>124</v>
      </c>
      <c r="D48" s="32">
        <v>5078</v>
      </c>
      <c r="E48" s="18">
        <v>201720</v>
      </c>
    </row>
    <row r="49" spans="1:5" ht="15.75" customHeight="1">
      <c r="A49" s="11">
        <v>38</v>
      </c>
      <c r="B49" s="21" t="s">
        <v>409</v>
      </c>
      <c r="C49" s="13" t="s">
        <v>317</v>
      </c>
      <c r="D49" s="32" t="s">
        <v>410</v>
      </c>
      <c r="E49" s="18">
        <v>33999</v>
      </c>
    </row>
    <row r="50" spans="1:5" ht="15.75" hidden="1" customHeight="1">
      <c r="A50" s="11">
        <v>39</v>
      </c>
      <c r="B50" s="21"/>
      <c r="C50" s="13"/>
      <c r="D50" s="32"/>
      <c r="E50" s="18"/>
    </row>
    <row r="51" spans="1:5" ht="15.75" hidden="1" customHeight="1">
      <c r="A51" s="11">
        <v>40</v>
      </c>
      <c r="B51" s="21"/>
      <c r="C51" s="13"/>
      <c r="D51" s="32"/>
      <c r="E51" s="18"/>
    </row>
    <row r="52" spans="1:5" ht="15.75" hidden="1" customHeight="1">
      <c r="A52" s="11">
        <v>41</v>
      </c>
      <c r="B52" s="21"/>
      <c r="C52" s="13"/>
      <c r="D52" s="32"/>
      <c r="E52" s="18"/>
    </row>
    <row r="53" spans="1:5" ht="15.75" hidden="1" customHeight="1">
      <c r="A53" s="11">
        <v>42</v>
      </c>
      <c r="B53" s="21"/>
      <c r="C53" s="13"/>
      <c r="D53" s="32"/>
      <c r="E53" s="18"/>
    </row>
    <row r="54" spans="1:5" ht="15.75" hidden="1" customHeight="1">
      <c r="A54" s="11">
        <v>43</v>
      </c>
      <c r="B54" s="21"/>
      <c r="C54" s="13"/>
      <c r="D54" s="32"/>
      <c r="E54" s="18"/>
    </row>
    <row r="55" spans="1:5" ht="15.75" hidden="1" customHeight="1">
      <c r="A55" s="11">
        <v>44</v>
      </c>
      <c r="B55" s="21"/>
      <c r="C55" s="13"/>
      <c r="D55" s="32"/>
      <c r="E55" s="18"/>
    </row>
    <row r="56" spans="1:5" ht="15.75" hidden="1" customHeight="1">
      <c r="A56" s="11">
        <v>45</v>
      </c>
      <c r="B56" s="21"/>
      <c r="C56" s="13"/>
      <c r="D56" s="32"/>
      <c r="E56" s="18"/>
    </row>
    <row r="57" spans="1:5" ht="15.75" hidden="1" customHeight="1">
      <c r="A57" s="11">
        <v>46</v>
      </c>
      <c r="B57" s="21"/>
      <c r="C57" s="13"/>
      <c r="D57" s="32"/>
      <c r="E57" s="18"/>
    </row>
    <row r="58" spans="1:5" ht="15.75" hidden="1" customHeight="1">
      <c r="A58" s="11">
        <v>47</v>
      </c>
      <c r="B58" s="21"/>
      <c r="C58" s="13"/>
      <c r="D58" s="32"/>
      <c r="E58" s="18"/>
    </row>
    <row r="59" spans="1:5" ht="15.75" hidden="1" customHeight="1">
      <c r="A59" s="11">
        <v>48</v>
      </c>
      <c r="B59" s="21"/>
      <c r="C59" s="13"/>
      <c r="D59" s="32"/>
      <c r="E59" s="18"/>
    </row>
    <row r="60" spans="1:5" ht="15.75" hidden="1" customHeight="1">
      <c r="A60" s="11">
        <v>49</v>
      </c>
      <c r="B60" s="21"/>
      <c r="C60" s="13"/>
      <c r="D60" s="32"/>
      <c r="E60" s="18"/>
    </row>
    <row r="61" spans="1:5" ht="15.75" hidden="1" customHeight="1">
      <c r="A61" s="11">
        <v>50</v>
      </c>
      <c r="B61" s="21"/>
      <c r="C61" s="13"/>
      <c r="D61" s="32"/>
      <c r="E61" s="18"/>
    </row>
    <row r="62" spans="1:5" ht="15.75" hidden="1" customHeight="1">
      <c r="A62" s="11">
        <v>51</v>
      </c>
      <c r="B62" s="21"/>
      <c r="C62" s="13"/>
      <c r="D62" s="32"/>
      <c r="E62" s="18"/>
    </row>
    <row r="63" spans="1:5" ht="15.75" customHeight="1">
      <c r="A63" s="8" t="s">
        <v>24</v>
      </c>
      <c r="B63" s="203"/>
      <c r="C63" s="204"/>
      <c r="D63" s="205"/>
      <c r="E63" s="49">
        <f>SUM(E12:E62)</f>
        <v>3023602.8</v>
      </c>
    </row>
    <row r="64" spans="1:5" ht="15.75" customHeight="1">
      <c r="A64" s="198"/>
      <c r="B64" s="196"/>
      <c r="C64" s="196"/>
      <c r="D64" s="196"/>
      <c r="E64" s="196"/>
    </row>
    <row r="65" spans="1:5" ht="15.75" customHeight="1">
      <c r="A65" s="198" t="s">
        <v>121</v>
      </c>
      <c r="B65" s="196"/>
      <c r="C65" s="196"/>
      <c r="D65" s="196"/>
      <c r="E65" s="27">
        <f>E63*2%</f>
        <v>60472.055999999997</v>
      </c>
    </row>
    <row r="66" spans="1:5" ht="14.25" customHeight="1">
      <c r="A66" s="198" t="s">
        <v>25</v>
      </c>
      <c r="B66" s="196"/>
      <c r="C66" s="196"/>
      <c r="D66" s="196"/>
      <c r="E66" s="196"/>
    </row>
    <row r="67" spans="1:5" ht="35.25" customHeight="1">
      <c r="A67" s="198"/>
      <c r="B67" s="196"/>
      <c r="C67" s="196"/>
      <c r="D67" s="196"/>
      <c r="E67" s="196"/>
    </row>
    <row r="68" spans="1:5" ht="15.75" customHeight="1">
      <c r="A68" s="198" t="s">
        <v>26</v>
      </c>
      <c r="B68" s="196"/>
      <c r="C68" s="196"/>
      <c r="D68" s="196"/>
      <c r="E68" s="196"/>
    </row>
    <row r="69" spans="1:5" ht="15.75" customHeight="1">
      <c r="A69" s="198" t="s">
        <v>27</v>
      </c>
      <c r="B69" s="196"/>
      <c r="C69" s="196"/>
      <c r="D69" s="196"/>
      <c r="E69" s="196"/>
    </row>
    <row r="70" spans="1:5" ht="15.75" customHeight="1">
      <c r="A70" s="198" t="s">
        <v>28</v>
      </c>
      <c r="B70" s="196"/>
      <c r="C70" s="196"/>
      <c r="D70" s="196"/>
      <c r="E70" s="196"/>
    </row>
  </sheetData>
  <mergeCells count="18">
    <mergeCell ref="A70:E70"/>
    <mergeCell ref="A8:E8"/>
    <mergeCell ref="A9:E9"/>
    <mergeCell ref="A10:E10"/>
    <mergeCell ref="B63:D63"/>
    <mergeCell ref="A64:E64"/>
    <mergeCell ref="A65:D65"/>
    <mergeCell ref="A66:E66"/>
    <mergeCell ref="A6:E6"/>
    <mergeCell ref="A7:E7"/>
    <mergeCell ref="A67:E67"/>
    <mergeCell ref="A68:E68"/>
    <mergeCell ref="A69:E69"/>
    <mergeCell ref="A1:E1"/>
    <mergeCell ref="A2:E2"/>
    <mergeCell ref="A3:E3"/>
    <mergeCell ref="A4:E4"/>
    <mergeCell ref="A5:E5"/>
  </mergeCells>
  <conditionalFormatting sqref="E12:E62">
    <cfRule type="notContainsBlanks" dxfId="89" priority="1">
      <formula>LEN(TRIM(E12))&gt;0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58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28.1640625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411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9" t="s">
        <v>11</v>
      </c>
    </row>
    <row r="12" spans="1:5" ht="15.75" customHeight="1">
      <c r="A12" s="11">
        <v>1</v>
      </c>
      <c r="B12" s="12" t="s">
        <v>412</v>
      </c>
      <c r="C12" s="13" t="s">
        <v>413</v>
      </c>
      <c r="D12" s="16">
        <v>3</v>
      </c>
      <c r="E12" s="14">
        <v>19480</v>
      </c>
    </row>
    <row r="13" spans="1:5" ht="15.75" customHeight="1">
      <c r="A13" s="11">
        <v>2</v>
      </c>
      <c r="B13" s="12" t="s">
        <v>414</v>
      </c>
      <c r="C13" s="13" t="s">
        <v>415</v>
      </c>
      <c r="D13" s="51">
        <v>44562</v>
      </c>
      <c r="E13" s="18">
        <v>8872</v>
      </c>
    </row>
    <row r="14" spans="1:5" ht="15.75" customHeight="1">
      <c r="A14" s="11">
        <v>3</v>
      </c>
      <c r="B14" s="12" t="s">
        <v>416</v>
      </c>
      <c r="C14" s="13" t="s">
        <v>417</v>
      </c>
      <c r="D14" s="16">
        <v>450</v>
      </c>
      <c r="E14" s="14">
        <v>88000</v>
      </c>
    </row>
    <row r="15" spans="1:5" ht="15.75" customHeight="1">
      <c r="A15" s="11">
        <v>4</v>
      </c>
      <c r="B15" s="12" t="s">
        <v>418</v>
      </c>
      <c r="C15" s="13" t="s">
        <v>419</v>
      </c>
      <c r="D15" s="22" t="s">
        <v>420</v>
      </c>
      <c r="E15" s="14">
        <v>111420</v>
      </c>
    </row>
    <row r="16" spans="1:5" ht="15.75" customHeight="1">
      <c r="A16" s="11">
        <v>5</v>
      </c>
      <c r="B16" s="12" t="s">
        <v>421</v>
      </c>
      <c r="C16" s="13" t="s">
        <v>422</v>
      </c>
      <c r="D16" s="15">
        <v>3</v>
      </c>
      <c r="E16" s="14">
        <v>11798</v>
      </c>
    </row>
    <row r="17" spans="1:5" ht="15.75" customHeight="1">
      <c r="A17" s="11">
        <v>6</v>
      </c>
      <c r="B17" s="12" t="s">
        <v>423</v>
      </c>
      <c r="C17" s="13" t="s">
        <v>16</v>
      </c>
      <c r="D17" s="15">
        <v>5</v>
      </c>
      <c r="E17" s="14">
        <v>31400</v>
      </c>
    </row>
    <row r="18" spans="1:5" ht="15.75" customHeight="1">
      <c r="A18" s="11">
        <v>7</v>
      </c>
      <c r="B18" s="12" t="s">
        <v>424</v>
      </c>
      <c r="C18" s="13" t="s">
        <v>419</v>
      </c>
      <c r="D18" s="52" t="s">
        <v>425</v>
      </c>
      <c r="E18" s="19">
        <v>16240</v>
      </c>
    </row>
    <row r="19" spans="1:5" ht="15.75" customHeight="1">
      <c r="A19" s="11">
        <v>8</v>
      </c>
      <c r="B19" s="17" t="s">
        <v>426</v>
      </c>
      <c r="C19" s="13" t="s">
        <v>427</v>
      </c>
      <c r="D19" s="15" t="s">
        <v>428</v>
      </c>
      <c r="E19" s="18">
        <v>66122</v>
      </c>
    </row>
    <row r="20" spans="1:5" ht="15.75" customHeight="1">
      <c r="A20" s="11">
        <v>9</v>
      </c>
      <c r="B20" s="17" t="s">
        <v>429</v>
      </c>
      <c r="C20" s="13" t="s">
        <v>195</v>
      </c>
      <c r="D20" s="15">
        <v>1101</v>
      </c>
      <c r="E20" s="18">
        <v>2400</v>
      </c>
    </row>
    <row r="21" spans="1:5" ht="15.75" customHeight="1">
      <c r="A21" s="11">
        <v>10</v>
      </c>
      <c r="B21" s="17" t="s">
        <v>430</v>
      </c>
      <c r="C21" s="13" t="s">
        <v>195</v>
      </c>
      <c r="D21" s="15">
        <v>17011</v>
      </c>
      <c r="E21" s="18">
        <v>248125</v>
      </c>
    </row>
    <row r="22" spans="1:5" ht="15.75" customHeight="1">
      <c r="A22" s="11">
        <v>11</v>
      </c>
      <c r="B22" s="37" t="s">
        <v>431</v>
      </c>
      <c r="C22" s="38" t="s">
        <v>432</v>
      </c>
      <c r="D22" s="22">
        <v>5</v>
      </c>
      <c r="E22" s="18">
        <v>35175</v>
      </c>
    </row>
    <row r="23" spans="1:5" ht="15.75" customHeight="1">
      <c r="A23" s="11">
        <v>12</v>
      </c>
      <c r="B23" s="21" t="s">
        <v>433</v>
      </c>
      <c r="C23" s="13" t="s">
        <v>195</v>
      </c>
      <c r="D23" s="22">
        <v>1301</v>
      </c>
      <c r="E23" s="18">
        <v>28620</v>
      </c>
    </row>
    <row r="24" spans="1:5" ht="15.75" customHeight="1">
      <c r="A24" s="11">
        <v>13</v>
      </c>
      <c r="B24" s="21" t="s">
        <v>434</v>
      </c>
      <c r="C24" s="13" t="s">
        <v>195</v>
      </c>
      <c r="D24" s="23">
        <v>1701</v>
      </c>
      <c r="E24" s="18">
        <v>311719</v>
      </c>
    </row>
    <row r="25" spans="1:5" ht="15.75" customHeight="1">
      <c r="A25" s="11">
        <v>14</v>
      </c>
      <c r="B25" s="21" t="s">
        <v>435</v>
      </c>
      <c r="C25" s="13" t="s">
        <v>195</v>
      </c>
      <c r="D25" s="23">
        <v>1402</v>
      </c>
      <c r="E25" s="18">
        <v>15000</v>
      </c>
    </row>
    <row r="26" spans="1:5" ht="15.75" customHeight="1">
      <c r="A26" s="11">
        <v>15</v>
      </c>
      <c r="B26" s="12" t="s">
        <v>436</v>
      </c>
      <c r="C26" s="13" t="s">
        <v>195</v>
      </c>
      <c r="D26" s="23">
        <v>1401</v>
      </c>
      <c r="E26" s="19">
        <v>32460</v>
      </c>
    </row>
    <row r="27" spans="1:5" ht="15.75" customHeight="1">
      <c r="A27" s="11">
        <v>16</v>
      </c>
      <c r="B27" s="35" t="s">
        <v>437</v>
      </c>
      <c r="C27" s="13" t="s">
        <v>104</v>
      </c>
      <c r="D27" s="39" t="s">
        <v>438</v>
      </c>
      <c r="E27" s="14">
        <v>7990</v>
      </c>
    </row>
    <row r="28" spans="1:5" ht="15.75" customHeight="1">
      <c r="A28" s="11">
        <v>17</v>
      </c>
      <c r="B28" s="12" t="s">
        <v>439</v>
      </c>
      <c r="C28" s="13" t="s">
        <v>124</v>
      </c>
      <c r="D28" s="15">
        <v>43</v>
      </c>
      <c r="E28" s="14">
        <v>74420</v>
      </c>
    </row>
    <row r="29" spans="1:5" ht="15.75" customHeight="1">
      <c r="A29" s="11">
        <v>18</v>
      </c>
      <c r="B29" s="12" t="s">
        <v>440</v>
      </c>
      <c r="C29" s="13" t="s">
        <v>441</v>
      </c>
      <c r="D29" s="15">
        <v>38</v>
      </c>
      <c r="E29" s="19">
        <v>167598</v>
      </c>
    </row>
    <row r="30" spans="1:5" ht="15.75" customHeight="1">
      <c r="A30" s="11">
        <v>19</v>
      </c>
      <c r="B30" s="12" t="s">
        <v>442</v>
      </c>
      <c r="C30" s="13" t="s">
        <v>124</v>
      </c>
      <c r="D30" s="20">
        <v>129</v>
      </c>
      <c r="E30" s="19">
        <v>100843</v>
      </c>
    </row>
    <row r="31" spans="1:5" ht="15.75" customHeight="1">
      <c r="A31" s="11">
        <v>20</v>
      </c>
      <c r="B31" s="21" t="s">
        <v>443</v>
      </c>
      <c r="C31" s="13" t="s">
        <v>444</v>
      </c>
      <c r="D31" s="23" t="s">
        <v>445</v>
      </c>
      <c r="E31" s="18">
        <v>14742</v>
      </c>
    </row>
    <row r="32" spans="1:5" ht="15.75" customHeight="1">
      <c r="A32" s="11">
        <v>21</v>
      </c>
      <c r="B32" s="21" t="s">
        <v>446</v>
      </c>
      <c r="C32" s="40" t="s">
        <v>19</v>
      </c>
      <c r="D32" s="23" t="s">
        <v>447</v>
      </c>
      <c r="E32" s="18">
        <v>109685.14</v>
      </c>
    </row>
    <row r="33" spans="1:5" ht="15.75" customHeight="1">
      <c r="A33" s="11">
        <v>22</v>
      </c>
      <c r="B33" s="21" t="s">
        <v>448</v>
      </c>
      <c r="C33" s="13" t="s">
        <v>195</v>
      </c>
      <c r="D33" s="23">
        <v>1801</v>
      </c>
      <c r="E33" s="18">
        <v>47348</v>
      </c>
    </row>
    <row r="34" spans="1:5" ht="15.75" customHeight="1">
      <c r="A34" s="11">
        <v>23</v>
      </c>
      <c r="B34" s="21" t="s">
        <v>449</v>
      </c>
      <c r="C34" s="13" t="s">
        <v>104</v>
      </c>
      <c r="D34" s="23" t="s">
        <v>450</v>
      </c>
      <c r="E34" s="18">
        <v>10534</v>
      </c>
    </row>
    <row r="35" spans="1:5" ht="15.75" customHeight="1">
      <c r="A35" s="11">
        <v>24</v>
      </c>
      <c r="B35" s="21" t="s">
        <v>451</v>
      </c>
      <c r="C35" s="13" t="s">
        <v>452</v>
      </c>
      <c r="D35" s="23">
        <v>124</v>
      </c>
      <c r="E35" s="18">
        <v>34286</v>
      </c>
    </row>
    <row r="36" spans="1:5" ht="15.75" customHeight="1">
      <c r="A36" s="11">
        <v>25</v>
      </c>
      <c r="B36" s="21" t="s">
        <v>453</v>
      </c>
      <c r="C36" s="13" t="s">
        <v>195</v>
      </c>
      <c r="D36" s="23">
        <v>2001</v>
      </c>
      <c r="E36" s="18">
        <v>17000</v>
      </c>
    </row>
    <row r="37" spans="1:5" ht="15.75" customHeight="1">
      <c r="A37" s="11">
        <v>26</v>
      </c>
      <c r="B37" s="21" t="s">
        <v>454</v>
      </c>
      <c r="C37" s="53" t="s">
        <v>455</v>
      </c>
      <c r="D37" s="23" t="s">
        <v>456</v>
      </c>
      <c r="E37" s="18">
        <v>35000</v>
      </c>
    </row>
    <row r="38" spans="1:5" ht="15.75" customHeight="1">
      <c r="A38" s="11">
        <v>27</v>
      </c>
      <c r="B38" s="21" t="s">
        <v>457</v>
      </c>
      <c r="C38" s="53" t="s">
        <v>455</v>
      </c>
      <c r="D38" s="23" t="s">
        <v>458</v>
      </c>
      <c r="E38" s="18">
        <v>25800</v>
      </c>
    </row>
    <row r="39" spans="1:5" ht="15.75" customHeight="1">
      <c r="A39" s="11">
        <v>28</v>
      </c>
      <c r="B39" s="21" t="s">
        <v>459</v>
      </c>
      <c r="C39" s="13" t="s">
        <v>346</v>
      </c>
      <c r="D39" s="23">
        <v>77</v>
      </c>
      <c r="E39" s="18">
        <v>161333.1</v>
      </c>
    </row>
    <row r="40" spans="1:5" ht="15.75" customHeight="1">
      <c r="A40" s="11">
        <v>29</v>
      </c>
      <c r="B40" s="21" t="s">
        <v>394</v>
      </c>
      <c r="C40" s="13" t="s">
        <v>195</v>
      </c>
      <c r="D40" s="23">
        <v>2101</v>
      </c>
      <c r="E40" s="18">
        <v>6785</v>
      </c>
    </row>
    <row r="41" spans="1:5" ht="15.75" customHeight="1">
      <c r="A41" s="11">
        <v>30</v>
      </c>
      <c r="B41" s="21" t="s">
        <v>460</v>
      </c>
      <c r="C41" s="13" t="s">
        <v>419</v>
      </c>
      <c r="D41" s="54">
        <v>2421560</v>
      </c>
      <c r="E41" s="18">
        <v>9826.86</v>
      </c>
    </row>
    <row r="42" spans="1:5" ht="15.75" customHeight="1">
      <c r="A42" s="11">
        <v>31</v>
      </c>
      <c r="B42" s="21" t="s">
        <v>461</v>
      </c>
      <c r="C42" s="13" t="s">
        <v>462</v>
      </c>
      <c r="D42" s="23">
        <v>3389</v>
      </c>
      <c r="E42" s="18">
        <v>30960</v>
      </c>
    </row>
    <row r="43" spans="1:5" ht="15.75" customHeight="1">
      <c r="A43" s="11">
        <v>32</v>
      </c>
      <c r="B43" s="21" t="s">
        <v>463</v>
      </c>
      <c r="C43" s="50" t="s">
        <v>195</v>
      </c>
      <c r="D43" s="23">
        <v>2501</v>
      </c>
      <c r="E43" s="18">
        <v>15760</v>
      </c>
    </row>
    <row r="44" spans="1:5" ht="15.75" customHeight="1">
      <c r="A44" s="11">
        <v>33</v>
      </c>
      <c r="B44" s="21" t="s">
        <v>464</v>
      </c>
      <c r="C44" s="13" t="s">
        <v>465</v>
      </c>
      <c r="D44" s="32">
        <v>72</v>
      </c>
      <c r="E44" s="18">
        <v>56500</v>
      </c>
    </row>
    <row r="45" spans="1:5" ht="15.75" customHeight="1">
      <c r="A45" s="11">
        <v>34</v>
      </c>
      <c r="B45" s="21" t="s">
        <v>466</v>
      </c>
      <c r="C45" s="53" t="s">
        <v>455</v>
      </c>
      <c r="D45" s="32" t="s">
        <v>467</v>
      </c>
      <c r="E45" s="18">
        <v>388284</v>
      </c>
    </row>
    <row r="46" spans="1:5" ht="15.75" customHeight="1">
      <c r="A46" s="11">
        <v>35</v>
      </c>
      <c r="B46" s="21" t="s">
        <v>468</v>
      </c>
      <c r="C46" s="55" t="s">
        <v>469</v>
      </c>
      <c r="D46" s="32" t="s">
        <v>470</v>
      </c>
      <c r="E46" s="18">
        <v>246000</v>
      </c>
    </row>
    <row r="47" spans="1:5" ht="15.75" customHeight="1">
      <c r="A47" s="11">
        <v>36</v>
      </c>
      <c r="B47" s="21" t="s">
        <v>471</v>
      </c>
      <c r="C47" s="13" t="s">
        <v>472</v>
      </c>
      <c r="D47" s="32">
        <v>601</v>
      </c>
      <c r="E47" s="18">
        <v>15890</v>
      </c>
    </row>
    <row r="48" spans="1:5" ht="15.75" customHeight="1">
      <c r="A48" s="11">
        <v>37</v>
      </c>
      <c r="B48" s="21" t="s">
        <v>473</v>
      </c>
      <c r="C48" s="13" t="s">
        <v>474</v>
      </c>
      <c r="D48" s="32" t="s">
        <v>475</v>
      </c>
      <c r="E48" s="18">
        <v>349910</v>
      </c>
    </row>
    <row r="49" spans="1:5" ht="15.75" customHeight="1">
      <c r="A49" s="11">
        <v>38</v>
      </c>
      <c r="B49" s="21" t="s">
        <v>476</v>
      </c>
      <c r="C49" s="50" t="s">
        <v>195</v>
      </c>
      <c r="D49" s="32">
        <v>3101</v>
      </c>
      <c r="E49" s="18">
        <v>109900</v>
      </c>
    </row>
    <row r="50" spans="1:5" ht="15.75" customHeight="1">
      <c r="A50" s="11">
        <v>39</v>
      </c>
      <c r="B50" s="21" t="s">
        <v>477</v>
      </c>
      <c r="C50" s="13" t="s">
        <v>478</v>
      </c>
      <c r="D50" s="32">
        <v>75</v>
      </c>
      <c r="E50" s="18">
        <v>12600</v>
      </c>
    </row>
    <row r="51" spans="1:5" ht="15.75" customHeight="1">
      <c r="A51" s="8" t="s">
        <v>24</v>
      </c>
      <c r="B51" s="203"/>
      <c r="C51" s="204"/>
      <c r="D51" s="205"/>
      <c r="E51" s="49">
        <f>SUM(E12:E50)</f>
        <v>3075826.1</v>
      </c>
    </row>
    <row r="52" spans="1:5" ht="15.75" customHeight="1">
      <c r="A52" s="198"/>
      <c r="B52" s="196"/>
      <c r="C52" s="196"/>
      <c r="D52" s="196"/>
      <c r="E52" s="196"/>
    </row>
    <row r="53" spans="1:5" ht="15.75" customHeight="1">
      <c r="A53" s="198" t="s">
        <v>121</v>
      </c>
      <c r="B53" s="196"/>
      <c r="C53" s="196"/>
      <c r="D53" s="196"/>
      <c r="E53" s="27">
        <f>E51*2%</f>
        <v>61516.522000000004</v>
      </c>
    </row>
    <row r="54" spans="1:5" ht="14.25" customHeight="1">
      <c r="A54" s="198" t="s">
        <v>25</v>
      </c>
      <c r="B54" s="196"/>
      <c r="C54" s="196"/>
      <c r="D54" s="196"/>
      <c r="E54" s="196"/>
    </row>
    <row r="55" spans="1:5" ht="35.25" customHeight="1">
      <c r="A55" s="198"/>
      <c r="B55" s="196"/>
      <c r="C55" s="196"/>
      <c r="D55" s="196"/>
      <c r="E55" s="196"/>
    </row>
    <row r="56" spans="1:5" ht="15.75" customHeight="1">
      <c r="A56" s="198" t="s">
        <v>26</v>
      </c>
      <c r="B56" s="196"/>
      <c r="C56" s="196"/>
      <c r="D56" s="196"/>
      <c r="E56" s="196"/>
    </row>
    <row r="57" spans="1:5" ht="15.75" customHeight="1">
      <c r="A57" s="198" t="s">
        <v>27</v>
      </c>
      <c r="B57" s="196"/>
      <c r="C57" s="196"/>
      <c r="D57" s="196"/>
      <c r="E57" s="196"/>
    </row>
    <row r="58" spans="1:5" ht="15.75" customHeight="1">
      <c r="A58" s="198" t="s">
        <v>28</v>
      </c>
      <c r="B58" s="196"/>
      <c r="C58" s="196"/>
      <c r="D58" s="196"/>
      <c r="E58" s="196"/>
    </row>
  </sheetData>
  <mergeCells count="18">
    <mergeCell ref="A58:E58"/>
    <mergeCell ref="A8:E8"/>
    <mergeCell ref="A9:E9"/>
    <mergeCell ref="A10:E10"/>
    <mergeCell ref="B51:D51"/>
    <mergeCell ref="A52:E52"/>
    <mergeCell ref="A53:D53"/>
    <mergeCell ref="A54:E54"/>
    <mergeCell ref="A6:E6"/>
    <mergeCell ref="A7:E7"/>
    <mergeCell ref="A55:E55"/>
    <mergeCell ref="A56:E56"/>
    <mergeCell ref="A57:E57"/>
    <mergeCell ref="A1:E1"/>
    <mergeCell ref="A2:E2"/>
    <mergeCell ref="A3:E3"/>
    <mergeCell ref="A4:E4"/>
    <mergeCell ref="A5:E5"/>
  </mergeCells>
  <conditionalFormatting sqref="E12:E50">
    <cfRule type="notContainsBlanks" dxfId="88" priority="1">
      <formula>LEN(TRIM(E12))&gt;0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54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28.1640625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479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9" t="s">
        <v>11</v>
      </c>
    </row>
    <row r="12" spans="1:5" ht="15.75" customHeight="1">
      <c r="A12" s="11">
        <v>1</v>
      </c>
      <c r="B12" s="12" t="s">
        <v>480</v>
      </c>
      <c r="C12" s="13" t="s">
        <v>284</v>
      </c>
      <c r="D12" s="16">
        <v>209</v>
      </c>
      <c r="E12" s="14">
        <v>5461</v>
      </c>
    </row>
    <row r="13" spans="1:5" ht="15.75" customHeight="1">
      <c r="A13" s="11">
        <v>2</v>
      </c>
      <c r="B13" s="12" t="s">
        <v>481</v>
      </c>
      <c r="C13" s="13" t="s">
        <v>482</v>
      </c>
      <c r="D13" s="15" t="s">
        <v>483</v>
      </c>
      <c r="E13" s="18">
        <v>23600</v>
      </c>
    </row>
    <row r="14" spans="1:5" ht="15.75" customHeight="1">
      <c r="A14" s="11">
        <v>3</v>
      </c>
      <c r="B14" s="12" t="s">
        <v>484</v>
      </c>
      <c r="C14" s="13" t="s">
        <v>485</v>
      </c>
      <c r="D14" s="16">
        <v>36</v>
      </c>
      <c r="E14" s="14">
        <v>156200</v>
      </c>
    </row>
    <row r="15" spans="1:5" ht="15.75" customHeight="1">
      <c r="A15" s="11">
        <v>4</v>
      </c>
      <c r="B15" s="12" t="s">
        <v>486</v>
      </c>
      <c r="C15" s="13" t="s">
        <v>378</v>
      </c>
      <c r="D15" s="22">
        <v>802</v>
      </c>
      <c r="E15" s="14">
        <v>31300</v>
      </c>
    </row>
    <row r="16" spans="1:5" ht="15.75" customHeight="1">
      <c r="A16" s="11">
        <v>5</v>
      </c>
      <c r="B16" s="12" t="s">
        <v>487</v>
      </c>
      <c r="C16" s="13" t="s">
        <v>16</v>
      </c>
      <c r="D16" s="15">
        <v>36</v>
      </c>
      <c r="E16" s="14">
        <v>27300</v>
      </c>
    </row>
    <row r="17" spans="1:5" ht="15.75" customHeight="1">
      <c r="A17" s="11">
        <v>6</v>
      </c>
      <c r="B17" s="12" t="s">
        <v>488</v>
      </c>
      <c r="C17" s="13" t="s">
        <v>81</v>
      </c>
      <c r="D17" s="15" t="s">
        <v>489</v>
      </c>
      <c r="E17" s="14">
        <v>9560</v>
      </c>
    </row>
    <row r="18" spans="1:5" ht="15.75" customHeight="1">
      <c r="A18" s="11">
        <v>7</v>
      </c>
      <c r="B18" s="12" t="s">
        <v>490</v>
      </c>
      <c r="C18" s="13" t="s">
        <v>491</v>
      </c>
      <c r="D18" s="15" t="s">
        <v>492</v>
      </c>
      <c r="E18" s="19">
        <v>7572</v>
      </c>
    </row>
    <row r="19" spans="1:5" ht="15.75" customHeight="1">
      <c r="A19" s="11">
        <v>8</v>
      </c>
      <c r="B19" s="12" t="s">
        <v>493</v>
      </c>
      <c r="C19" s="13" t="s">
        <v>491</v>
      </c>
      <c r="D19" s="15" t="s">
        <v>494</v>
      </c>
      <c r="E19" s="19">
        <v>7572</v>
      </c>
    </row>
    <row r="20" spans="1:5" ht="15.75" customHeight="1">
      <c r="A20" s="11">
        <v>9</v>
      </c>
      <c r="B20" s="17" t="s">
        <v>495</v>
      </c>
      <c r="C20" s="13" t="s">
        <v>363</v>
      </c>
      <c r="D20" s="15" t="s">
        <v>496</v>
      </c>
      <c r="E20" s="18">
        <v>9980</v>
      </c>
    </row>
    <row r="21" spans="1:5" ht="15.75" customHeight="1">
      <c r="A21" s="11">
        <v>10</v>
      </c>
      <c r="B21" s="17" t="s">
        <v>497</v>
      </c>
      <c r="C21" s="13" t="s">
        <v>181</v>
      </c>
      <c r="D21" s="15" t="s">
        <v>498</v>
      </c>
      <c r="E21" s="18">
        <v>17010</v>
      </c>
    </row>
    <row r="22" spans="1:5" ht="15.75" customHeight="1">
      <c r="A22" s="11">
        <v>11</v>
      </c>
      <c r="B22" s="37" t="s">
        <v>499</v>
      </c>
      <c r="C22" s="13" t="s">
        <v>378</v>
      </c>
      <c r="D22" s="22">
        <v>1602</v>
      </c>
      <c r="E22" s="18">
        <v>42200</v>
      </c>
    </row>
    <row r="23" spans="1:5" ht="15.75" customHeight="1">
      <c r="A23" s="11">
        <v>12</v>
      </c>
      <c r="B23" s="21" t="s">
        <v>500</v>
      </c>
      <c r="C23" s="13" t="s">
        <v>501</v>
      </c>
      <c r="D23" s="22"/>
      <c r="E23" s="18">
        <v>70000</v>
      </c>
    </row>
    <row r="24" spans="1:5" ht="15.75" customHeight="1">
      <c r="A24" s="11">
        <v>13</v>
      </c>
      <c r="B24" s="21" t="s">
        <v>502</v>
      </c>
      <c r="C24" s="13" t="s">
        <v>503</v>
      </c>
      <c r="D24" s="23">
        <v>28118729</v>
      </c>
      <c r="E24" s="18">
        <v>2900</v>
      </c>
    </row>
    <row r="25" spans="1:5" ht="15.75" customHeight="1">
      <c r="A25" s="11">
        <v>14</v>
      </c>
      <c r="B25" s="21" t="s">
        <v>504</v>
      </c>
      <c r="C25" s="13" t="s">
        <v>505</v>
      </c>
      <c r="D25" s="23">
        <v>2358</v>
      </c>
      <c r="E25" s="18">
        <v>5000</v>
      </c>
    </row>
    <row r="26" spans="1:5" ht="15.75" customHeight="1">
      <c r="A26" s="11">
        <v>15</v>
      </c>
      <c r="B26" s="12" t="s">
        <v>506</v>
      </c>
      <c r="C26" s="13" t="s">
        <v>507</v>
      </c>
      <c r="D26" s="23">
        <v>105</v>
      </c>
      <c r="E26" s="19">
        <v>11500</v>
      </c>
    </row>
    <row r="27" spans="1:5" ht="15.75" customHeight="1">
      <c r="A27" s="11">
        <v>16</v>
      </c>
      <c r="B27" s="35" t="s">
        <v>508</v>
      </c>
      <c r="C27" s="13" t="s">
        <v>509</v>
      </c>
      <c r="D27" s="39">
        <v>597</v>
      </c>
      <c r="E27" s="14">
        <v>14310</v>
      </c>
    </row>
    <row r="28" spans="1:5" ht="15.75" customHeight="1">
      <c r="A28" s="11">
        <v>17</v>
      </c>
      <c r="B28" s="12" t="s">
        <v>510</v>
      </c>
      <c r="C28" s="13" t="s">
        <v>378</v>
      </c>
      <c r="D28" s="15">
        <v>2501</v>
      </c>
      <c r="E28" s="14">
        <v>13630</v>
      </c>
    </row>
    <row r="29" spans="1:5" ht="15.75" customHeight="1">
      <c r="A29" s="11">
        <v>18</v>
      </c>
      <c r="B29" s="12" t="s">
        <v>511</v>
      </c>
      <c r="C29" s="13" t="s">
        <v>378</v>
      </c>
      <c r="D29" s="15">
        <v>1902</v>
      </c>
      <c r="E29" s="19">
        <v>5820</v>
      </c>
    </row>
    <row r="30" spans="1:5" ht="15.75" customHeight="1">
      <c r="A30" s="11">
        <v>19</v>
      </c>
      <c r="B30" s="12" t="s">
        <v>512</v>
      </c>
      <c r="C30" s="13" t="s">
        <v>513</v>
      </c>
      <c r="D30" s="20">
        <v>17</v>
      </c>
      <c r="E30" s="19">
        <v>16676.439999999999</v>
      </c>
    </row>
    <row r="31" spans="1:5" ht="15.75" customHeight="1">
      <c r="A31" s="11">
        <v>20</v>
      </c>
      <c r="B31" s="21" t="s">
        <v>514</v>
      </c>
      <c r="C31" s="13" t="s">
        <v>181</v>
      </c>
      <c r="D31" s="15" t="s">
        <v>515</v>
      </c>
      <c r="E31" s="18">
        <v>16727</v>
      </c>
    </row>
    <row r="32" spans="1:5" ht="15.75" customHeight="1">
      <c r="A32" s="11">
        <v>21</v>
      </c>
      <c r="B32" s="21" t="s">
        <v>516</v>
      </c>
      <c r="C32" s="40" t="s">
        <v>81</v>
      </c>
      <c r="D32" s="23" t="s">
        <v>517</v>
      </c>
      <c r="E32" s="18">
        <v>29698</v>
      </c>
    </row>
    <row r="33" spans="1:5" ht="15.75" customHeight="1">
      <c r="A33" s="11">
        <v>22</v>
      </c>
      <c r="B33" s="21" t="s">
        <v>518</v>
      </c>
      <c r="C33" s="13" t="s">
        <v>519</v>
      </c>
      <c r="D33" s="23">
        <v>49</v>
      </c>
      <c r="E33" s="18">
        <v>203332</v>
      </c>
    </row>
    <row r="34" spans="1:5" ht="15.75" customHeight="1">
      <c r="A34" s="11">
        <v>23</v>
      </c>
      <c r="B34" s="21" t="s">
        <v>520</v>
      </c>
      <c r="C34" s="13" t="s">
        <v>507</v>
      </c>
      <c r="D34" s="23">
        <v>122</v>
      </c>
      <c r="E34" s="18">
        <v>2150</v>
      </c>
    </row>
    <row r="35" spans="1:5" ht="15.75" customHeight="1">
      <c r="A35" s="11">
        <v>24</v>
      </c>
      <c r="B35" s="21" t="s">
        <v>521</v>
      </c>
      <c r="C35" s="40" t="s">
        <v>81</v>
      </c>
      <c r="D35" s="23" t="s">
        <v>522</v>
      </c>
      <c r="E35" s="18">
        <v>25410</v>
      </c>
    </row>
    <row r="36" spans="1:5" ht="15.75" customHeight="1">
      <c r="A36" s="11">
        <v>25</v>
      </c>
      <c r="B36" s="21" t="s">
        <v>459</v>
      </c>
      <c r="C36" s="13" t="s">
        <v>346</v>
      </c>
      <c r="D36" s="23">
        <v>246</v>
      </c>
      <c r="E36" s="18">
        <v>177525</v>
      </c>
    </row>
    <row r="37" spans="1:5" ht="15.75" customHeight="1">
      <c r="A37" s="11">
        <v>26</v>
      </c>
      <c r="B37" s="21" t="s">
        <v>523</v>
      </c>
      <c r="C37" s="53" t="s">
        <v>288</v>
      </c>
      <c r="D37" s="23" t="s">
        <v>524</v>
      </c>
      <c r="E37" s="18">
        <v>27306.720000000001</v>
      </c>
    </row>
    <row r="38" spans="1:5" ht="15.75" customHeight="1">
      <c r="A38" s="11">
        <v>27</v>
      </c>
      <c r="B38" s="21" t="s">
        <v>525</v>
      </c>
      <c r="C38" s="53" t="s">
        <v>378</v>
      </c>
      <c r="D38" s="23">
        <v>2402</v>
      </c>
      <c r="E38" s="18">
        <v>55400</v>
      </c>
    </row>
    <row r="39" spans="1:5" ht="15.75" customHeight="1">
      <c r="A39" s="11">
        <v>28</v>
      </c>
      <c r="B39" s="21" t="s">
        <v>526</v>
      </c>
      <c r="C39" s="53" t="s">
        <v>378</v>
      </c>
      <c r="D39" s="23">
        <v>2502</v>
      </c>
      <c r="E39" s="18">
        <v>2250</v>
      </c>
    </row>
    <row r="40" spans="1:5" ht="15.75" customHeight="1">
      <c r="A40" s="11">
        <v>29</v>
      </c>
      <c r="B40" s="21" t="s">
        <v>527</v>
      </c>
      <c r="C40" s="53" t="s">
        <v>378</v>
      </c>
      <c r="D40" s="23">
        <v>2602</v>
      </c>
      <c r="E40" s="18">
        <v>14100</v>
      </c>
    </row>
    <row r="41" spans="1:5" ht="15.75" customHeight="1">
      <c r="A41" s="11">
        <v>30</v>
      </c>
      <c r="B41" s="21" t="s">
        <v>528</v>
      </c>
      <c r="C41" s="53" t="s">
        <v>378</v>
      </c>
      <c r="D41" s="23">
        <v>2802</v>
      </c>
      <c r="E41" s="18">
        <v>5300</v>
      </c>
    </row>
    <row r="42" spans="1:5" ht="15.75" customHeight="1">
      <c r="A42" s="11">
        <v>31</v>
      </c>
      <c r="B42" s="21" t="s">
        <v>529</v>
      </c>
      <c r="C42" s="13" t="s">
        <v>530</v>
      </c>
      <c r="D42" s="23">
        <v>221</v>
      </c>
      <c r="E42" s="18">
        <v>22400</v>
      </c>
    </row>
    <row r="43" spans="1:5" ht="15.75" customHeight="1">
      <c r="A43" s="11">
        <v>32</v>
      </c>
      <c r="B43" s="21" t="s">
        <v>531</v>
      </c>
      <c r="C43" s="50" t="s">
        <v>16</v>
      </c>
      <c r="D43" s="23">
        <v>61</v>
      </c>
      <c r="E43" s="18">
        <v>51600</v>
      </c>
    </row>
    <row r="44" spans="1:5" ht="15.75" customHeight="1">
      <c r="A44" s="11">
        <v>33</v>
      </c>
      <c r="B44" s="21" t="s">
        <v>520</v>
      </c>
      <c r="C44" s="13" t="s">
        <v>507</v>
      </c>
      <c r="D44" s="32">
        <v>122</v>
      </c>
      <c r="E44" s="18">
        <v>2150</v>
      </c>
    </row>
    <row r="45" spans="1:5" ht="15.75" customHeight="1">
      <c r="A45" s="11">
        <v>34</v>
      </c>
      <c r="B45" s="21" t="s">
        <v>532</v>
      </c>
      <c r="C45" s="53" t="s">
        <v>19</v>
      </c>
      <c r="D45" s="32" t="s">
        <v>533</v>
      </c>
      <c r="E45" s="18">
        <v>4778</v>
      </c>
    </row>
    <row r="46" spans="1:5" ht="15.75" customHeight="1">
      <c r="A46" s="11">
        <v>35</v>
      </c>
      <c r="B46" s="21" t="s">
        <v>534</v>
      </c>
      <c r="C46" s="13" t="s">
        <v>501</v>
      </c>
      <c r="D46" s="32" t="s">
        <v>535</v>
      </c>
      <c r="E46" s="18">
        <v>13340</v>
      </c>
    </row>
    <row r="47" spans="1:5" ht="15.75" customHeight="1">
      <c r="A47" s="8" t="s">
        <v>24</v>
      </c>
      <c r="B47" s="203"/>
      <c r="C47" s="204"/>
      <c r="D47" s="205"/>
      <c r="E47" s="49">
        <f>SUM(E12:E46)</f>
        <v>1131058.1599999999</v>
      </c>
    </row>
    <row r="48" spans="1:5" ht="15.75" customHeight="1">
      <c r="A48" s="198"/>
      <c r="B48" s="196"/>
      <c r="C48" s="196"/>
      <c r="D48" s="196"/>
      <c r="E48" s="196"/>
    </row>
    <row r="49" spans="1:5" ht="15.75" customHeight="1">
      <c r="A49" s="198" t="s">
        <v>121</v>
      </c>
      <c r="B49" s="196"/>
      <c r="C49" s="196"/>
      <c r="D49" s="196"/>
      <c r="E49" s="27">
        <f>E47*2%</f>
        <v>22621.163199999999</v>
      </c>
    </row>
    <row r="50" spans="1:5" ht="14.25" customHeight="1">
      <c r="A50" s="198" t="s">
        <v>25</v>
      </c>
      <c r="B50" s="196"/>
      <c r="C50" s="196"/>
      <c r="D50" s="196"/>
      <c r="E50" s="196"/>
    </row>
    <row r="51" spans="1:5" ht="35.25" customHeight="1">
      <c r="A51" s="198"/>
      <c r="B51" s="196"/>
      <c r="C51" s="196"/>
      <c r="D51" s="196"/>
      <c r="E51" s="196"/>
    </row>
    <row r="52" spans="1:5" ht="15.75" customHeight="1">
      <c r="A52" s="198" t="s">
        <v>26</v>
      </c>
      <c r="B52" s="196"/>
      <c r="C52" s="196"/>
      <c r="D52" s="196"/>
      <c r="E52" s="196"/>
    </row>
    <row r="53" spans="1:5" ht="15.75" customHeight="1">
      <c r="A53" s="198" t="s">
        <v>27</v>
      </c>
      <c r="B53" s="196"/>
      <c r="C53" s="196"/>
      <c r="D53" s="196"/>
      <c r="E53" s="196"/>
    </row>
    <row r="54" spans="1:5" ht="15.75" customHeight="1">
      <c r="A54" s="198" t="s">
        <v>28</v>
      </c>
      <c r="B54" s="196"/>
      <c r="C54" s="196"/>
      <c r="D54" s="196"/>
      <c r="E54" s="196"/>
    </row>
  </sheetData>
  <mergeCells count="18">
    <mergeCell ref="A54:E54"/>
    <mergeCell ref="A8:E8"/>
    <mergeCell ref="A9:E9"/>
    <mergeCell ref="A10:E10"/>
    <mergeCell ref="B47:D47"/>
    <mergeCell ref="A48:E48"/>
    <mergeCell ref="A49:D49"/>
    <mergeCell ref="A50:E50"/>
    <mergeCell ref="A6:E6"/>
    <mergeCell ref="A7:E7"/>
    <mergeCell ref="A51:E51"/>
    <mergeCell ref="A52:E52"/>
    <mergeCell ref="A53:E53"/>
    <mergeCell ref="A1:E1"/>
    <mergeCell ref="A2:E2"/>
    <mergeCell ref="A3:E3"/>
    <mergeCell ref="A4:E4"/>
    <mergeCell ref="A5:E5"/>
  </mergeCells>
  <conditionalFormatting sqref="E12:E46">
    <cfRule type="notContainsBlanks" dxfId="87" priority="1">
      <formula>LEN(TRIM(E12))&gt;0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E49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536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9" t="s">
        <v>11</v>
      </c>
    </row>
    <row r="12" spans="1:5" ht="15.75" customHeight="1">
      <c r="A12" s="11">
        <v>1</v>
      </c>
      <c r="B12" s="56" t="s">
        <v>537</v>
      </c>
      <c r="C12" s="57" t="s">
        <v>16</v>
      </c>
      <c r="D12" s="58">
        <v>70</v>
      </c>
      <c r="E12" s="59">
        <v>258278</v>
      </c>
    </row>
    <row r="13" spans="1:5" ht="15.75" customHeight="1">
      <c r="A13" s="11">
        <v>2</v>
      </c>
      <c r="B13" s="56" t="s">
        <v>538</v>
      </c>
      <c r="C13" s="57" t="s">
        <v>260</v>
      </c>
      <c r="D13" s="58" t="s">
        <v>539</v>
      </c>
      <c r="E13" s="59">
        <v>41586.519999999997</v>
      </c>
    </row>
    <row r="14" spans="1:5" ht="15.75" customHeight="1">
      <c r="A14" s="11">
        <v>3</v>
      </c>
      <c r="B14" s="56" t="s">
        <v>540</v>
      </c>
      <c r="C14" s="57" t="s">
        <v>541</v>
      </c>
      <c r="D14" s="60" t="s">
        <v>542</v>
      </c>
      <c r="E14" s="59">
        <v>663621</v>
      </c>
    </row>
    <row r="15" spans="1:5" ht="15.75" customHeight="1">
      <c r="A15" s="11">
        <v>4</v>
      </c>
      <c r="B15" s="56" t="s">
        <v>543</v>
      </c>
      <c r="C15" s="57" t="s">
        <v>544</v>
      </c>
      <c r="D15" s="58">
        <v>162</v>
      </c>
      <c r="E15" s="59">
        <v>87552</v>
      </c>
    </row>
    <row r="16" spans="1:5" ht="15.75" customHeight="1">
      <c r="A16" s="11">
        <v>5</v>
      </c>
      <c r="B16" s="56" t="s">
        <v>545</v>
      </c>
      <c r="C16" s="57" t="s">
        <v>546</v>
      </c>
      <c r="D16" s="58">
        <v>31806</v>
      </c>
      <c r="E16" s="59">
        <v>112356</v>
      </c>
    </row>
    <row r="17" spans="1:5" ht="15.75" customHeight="1">
      <c r="A17" s="11">
        <v>6</v>
      </c>
      <c r="B17" s="56" t="s">
        <v>547</v>
      </c>
      <c r="C17" s="57" t="s">
        <v>548</v>
      </c>
      <c r="D17" s="58">
        <v>7523</v>
      </c>
      <c r="E17" s="59">
        <v>73200</v>
      </c>
    </row>
    <row r="18" spans="1:5" ht="15.75" customHeight="1">
      <c r="A18" s="11">
        <v>7</v>
      </c>
      <c r="B18" s="56" t="s">
        <v>549</v>
      </c>
      <c r="C18" s="57" t="s">
        <v>45</v>
      </c>
      <c r="D18" s="58" t="s">
        <v>550</v>
      </c>
      <c r="E18" s="59">
        <v>73673</v>
      </c>
    </row>
    <row r="19" spans="1:5" ht="15.75" customHeight="1">
      <c r="A19" s="11">
        <v>8</v>
      </c>
      <c r="B19" s="56" t="s">
        <v>551</v>
      </c>
      <c r="C19" s="57" t="s">
        <v>552</v>
      </c>
      <c r="D19" s="58" t="s">
        <v>553</v>
      </c>
      <c r="E19" s="59">
        <v>136453.14000000001</v>
      </c>
    </row>
    <row r="20" spans="1:5" ht="15.75" customHeight="1">
      <c r="A20" s="11">
        <v>9</v>
      </c>
      <c r="B20" s="56" t="s">
        <v>554</v>
      </c>
      <c r="C20" s="57" t="s">
        <v>378</v>
      </c>
      <c r="D20" s="58">
        <v>203</v>
      </c>
      <c r="E20" s="59">
        <v>98598.13</v>
      </c>
    </row>
    <row r="21" spans="1:5" ht="15.75" customHeight="1">
      <c r="A21" s="11">
        <v>10</v>
      </c>
      <c r="B21" s="61" t="s">
        <v>555</v>
      </c>
      <c r="C21" s="57" t="s">
        <v>556</v>
      </c>
      <c r="D21" s="60">
        <v>72</v>
      </c>
      <c r="E21" s="59">
        <v>473010</v>
      </c>
    </row>
    <row r="22" spans="1:5" ht="15.75" customHeight="1">
      <c r="A22" s="11">
        <v>11</v>
      </c>
      <c r="B22" s="62" t="s">
        <v>557</v>
      </c>
      <c r="C22" s="57" t="s">
        <v>452</v>
      </c>
      <c r="D22" s="60">
        <v>171</v>
      </c>
      <c r="E22" s="59">
        <v>12330</v>
      </c>
    </row>
    <row r="23" spans="1:5" ht="15.75" customHeight="1">
      <c r="A23" s="11">
        <v>12</v>
      </c>
      <c r="B23" s="62" t="s">
        <v>558</v>
      </c>
      <c r="C23" s="57" t="s">
        <v>559</v>
      </c>
      <c r="D23" s="63">
        <v>125</v>
      </c>
      <c r="E23" s="59">
        <v>32210</v>
      </c>
    </row>
    <row r="24" spans="1:5" ht="15.75" customHeight="1">
      <c r="A24" s="11">
        <v>13</v>
      </c>
      <c r="B24" s="62" t="s">
        <v>560</v>
      </c>
      <c r="C24" s="57" t="s">
        <v>561</v>
      </c>
      <c r="D24" s="63">
        <v>8306229</v>
      </c>
      <c r="E24" s="59">
        <v>40920</v>
      </c>
    </row>
    <row r="25" spans="1:5" ht="15.75" customHeight="1">
      <c r="A25" s="11">
        <v>14</v>
      </c>
      <c r="B25" s="56" t="s">
        <v>562</v>
      </c>
      <c r="C25" s="57" t="s">
        <v>563</v>
      </c>
      <c r="D25" s="63">
        <v>482</v>
      </c>
      <c r="E25" s="59">
        <v>340000</v>
      </c>
    </row>
    <row r="26" spans="1:5" ht="15.75" customHeight="1">
      <c r="A26" s="11">
        <v>15</v>
      </c>
      <c r="B26" s="64" t="s">
        <v>564</v>
      </c>
      <c r="C26" s="57" t="s">
        <v>565</v>
      </c>
      <c r="D26" s="60">
        <v>20</v>
      </c>
      <c r="E26" s="59">
        <v>85360</v>
      </c>
    </row>
    <row r="27" spans="1:5" ht="15.75" customHeight="1">
      <c r="A27" s="11">
        <v>16</v>
      </c>
      <c r="B27" s="56" t="s">
        <v>566</v>
      </c>
      <c r="C27" s="57" t="s">
        <v>567</v>
      </c>
      <c r="D27" s="58">
        <v>182</v>
      </c>
      <c r="E27" s="59">
        <v>48080</v>
      </c>
    </row>
    <row r="28" spans="1:5" ht="15.75" customHeight="1">
      <c r="A28" s="11">
        <v>17</v>
      </c>
      <c r="B28" s="56" t="s">
        <v>568</v>
      </c>
      <c r="C28" s="57" t="s">
        <v>569</v>
      </c>
      <c r="D28" s="58">
        <v>1743</v>
      </c>
      <c r="E28" s="59">
        <v>73495.8</v>
      </c>
    </row>
    <row r="29" spans="1:5" ht="15.75" customHeight="1">
      <c r="A29" s="11">
        <v>18</v>
      </c>
      <c r="B29" s="62" t="s">
        <v>570</v>
      </c>
      <c r="C29" s="57" t="s">
        <v>93</v>
      </c>
      <c r="D29" s="58" t="s">
        <v>571</v>
      </c>
      <c r="E29" s="59">
        <v>94834</v>
      </c>
    </row>
    <row r="30" spans="1:5" ht="15.75" customHeight="1">
      <c r="A30" s="11">
        <v>19</v>
      </c>
      <c r="B30" s="62" t="s">
        <v>572</v>
      </c>
      <c r="C30" s="57" t="s">
        <v>573</v>
      </c>
      <c r="D30" s="63" t="s">
        <v>574</v>
      </c>
      <c r="E30" s="59">
        <v>39872</v>
      </c>
    </row>
    <row r="31" spans="1:5" ht="15.75" customHeight="1">
      <c r="A31" s="11">
        <v>20</v>
      </c>
      <c r="B31" s="62" t="s">
        <v>575</v>
      </c>
      <c r="C31" s="57" t="s">
        <v>576</v>
      </c>
      <c r="D31" s="63">
        <v>242</v>
      </c>
      <c r="E31" s="59">
        <v>4600</v>
      </c>
    </row>
    <row r="32" spans="1:5" ht="15.75" customHeight="1">
      <c r="A32" s="11">
        <v>21</v>
      </c>
      <c r="B32" s="62" t="s">
        <v>577</v>
      </c>
      <c r="C32" s="65" t="s">
        <v>96</v>
      </c>
      <c r="D32" s="63">
        <v>91228449</v>
      </c>
      <c r="E32" s="59">
        <v>27090</v>
      </c>
    </row>
    <row r="33" spans="1:5" ht="15.75" customHeight="1">
      <c r="A33" s="11">
        <v>22</v>
      </c>
      <c r="B33" s="62" t="s">
        <v>578</v>
      </c>
      <c r="C33" s="57" t="s">
        <v>71</v>
      </c>
      <c r="D33" s="63">
        <v>6600879</v>
      </c>
      <c r="E33" s="59">
        <v>42930</v>
      </c>
    </row>
    <row r="34" spans="1:5" ht="15.75" customHeight="1">
      <c r="A34" s="11">
        <v>23</v>
      </c>
      <c r="B34" s="62" t="s">
        <v>579</v>
      </c>
      <c r="C34" s="57" t="s">
        <v>580</v>
      </c>
      <c r="D34" s="63">
        <v>2837</v>
      </c>
      <c r="E34" s="59">
        <v>3345</v>
      </c>
    </row>
    <row r="35" spans="1:5" ht="15.75" customHeight="1">
      <c r="A35" s="11">
        <v>24</v>
      </c>
      <c r="B35" s="62" t="s">
        <v>581</v>
      </c>
      <c r="C35" s="57" t="s">
        <v>582</v>
      </c>
      <c r="D35" s="63" t="s">
        <v>583</v>
      </c>
      <c r="E35" s="59">
        <v>9290.6</v>
      </c>
    </row>
    <row r="36" spans="1:5" ht="15.75" customHeight="1">
      <c r="A36" s="11">
        <v>25</v>
      </c>
      <c r="B36" s="62" t="s">
        <v>584</v>
      </c>
      <c r="C36" s="57" t="s">
        <v>260</v>
      </c>
      <c r="D36" s="63" t="s">
        <v>585</v>
      </c>
      <c r="E36" s="59">
        <v>6566</v>
      </c>
    </row>
    <row r="37" spans="1:5" ht="15.75" customHeight="1">
      <c r="A37" s="11">
        <v>30</v>
      </c>
      <c r="B37" s="62" t="s">
        <v>586</v>
      </c>
      <c r="C37" s="57" t="s">
        <v>546</v>
      </c>
      <c r="D37" s="63">
        <v>32926</v>
      </c>
      <c r="E37" s="59">
        <v>42142.8</v>
      </c>
    </row>
    <row r="38" spans="1:5" ht="15.75" customHeight="1">
      <c r="A38" s="11">
        <v>31</v>
      </c>
      <c r="B38" s="62" t="s">
        <v>587</v>
      </c>
      <c r="C38" s="57" t="s">
        <v>556</v>
      </c>
      <c r="D38" s="63">
        <v>92</v>
      </c>
      <c r="E38" s="59">
        <v>126000</v>
      </c>
    </row>
    <row r="39" spans="1:5" ht="15.75" customHeight="1">
      <c r="A39" s="11">
        <v>32</v>
      </c>
      <c r="B39" s="62" t="s">
        <v>588</v>
      </c>
      <c r="C39" s="57" t="s">
        <v>546</v>
      </c>
      <c r="D39" s="63">
        <v>40119</v>
      </c>
      <c r="E39" s="59">
        <v>133468.79999999999</v>
      </c>
    </row>
    <row r="40" spans="1:5" ht="15.75" customHeight="1">
      <c r="A40" s="11">
        <v>33</v>
      </c>
      <c r="B40" s="62" t="s">
        <v>589</v>
      </c>
      <c r="C40" s="57" t="s">
        <v>288</v>
      </c>
      <c r="D40" s="63" t="s">
        <v>590</v>
      </c>
      <c r="E40" s="59">
        <v>40488</v>
      </c>
    </row>
    <row r="41" spans="1:5" ht="15.75" customHeight="1">
      <c r="A41" s="11">
        <v>34</v>
      </c>
      <c r="B41" s="62" t="s">
        <v>591</v>
      </c>
      <c r="C41" s="66" t="s">
        <v>582</v>
      </c>
      <c r="D41" s="60" t="s">
        <v>592</v>
      </c>
      <c r="E41" s="59">
        <v>7539.85</v>
      </c>
    </row>
    <row r="42" spans="1:5" ht="15.75" customHeight="1">
      <c r="A42" s="8" t="s">
        <v>24</v>
      </c>
      <c r="B42" s="203"/>
      <c r="C42" s="204"/>
      <c r="D42" s="205"/>
      <c r="E42" s="49">
        <f>SUM(E12:E41)</f>
        <v>3228890.6399999997</v>
      </c>
    </row>
    <row r="43" spans="1:5" ht="15.75" customHeight="1">
      <c r="A43" s="198"/>
      <c r="B43" s="196"/>
      <c r="C43" s="196"/>
      <c r="D43" s="196"/>
      <c r="E43" s="196"/>
    </row>
    <row r="44" spans="1:5" ht="15.75" customHeight="1">
      <c r="A44" s="198" t="s">
        <v>121</v>
      </c>
      <c r="B44" s="196"/>
      <c r="C44" s="196"/>
      <c r="D44" s="196"/>
      <c r="E44" s="27">
        <f>E42*2%</f>
        <v>64577.812799999992</v>
      </c>
    </row>
    <row r="45" spans="1:5" ht="14.25" customHeight="1">
      <c r="A45" s="198" t="s">
        <v>25</v>
      </c>
      <c r="B45" s="196"/>
      <c r="C45" s="196"/>
      <c r="D45" s="196"/>
      <c r="E45" s="196"/>
    </row>
    <row r="46" spans="1:5" ht="35.25" customHeight="1">
      <c r="A46" s="198"/>
      <c r="B46" s="196"/>
      <c r="C46" s="196"/>
      <c r="D46" s="196"/>
      <c r="E46" s="196"/>
    </row>
    <row r="47" spans="1:5" ht="15.75" customHeight="1">
      <c r="A47" s="198" t="s">
        <v>26</v>
      </c>
      <c r="B47" s="196"/>
      <c r="C47" s="196"/>
      <c r="D47" s="196"/>
      <c r="E47" s="196"/>
    </row>
    <row r="48" spans="1:5" ht="15.75" customHeight="1">
      <c r="A48" s="198" t="s">
        <v>27</v>
      </c>
      <c r="B48" s="196"/>
      <c r="C48" s="196"/>
      <c r="D48" s="196"/>
      <c r="E48" s="196"/>
    </row>
    <row r="49" spans="1:5" ht="15.75" customHeight="1">
      <c r="A49" s="198" t="s">
        <v>28</v>
      </c>
      <c r="B49" s="196"/>
      <c r="C49" s="196"/>
      <c r="D49" s="196"/>
      <c r="E49" s="196"/>
    </row>
  </sheetData>
  <mergeCells count="18">
    <mergeCell ref="A49:E49"/>
    <mergeCell ref="A8:E8"/>
    <mergeCell ref="A9:E9"/>
    <mergeCell ref="A10:E10"/>
    <mergeCell ref="B42:D42"/>
    <mergeCell ref="A43:E43"/>
    <mergeCell ref="A44:D44"/>
    <mergeCell ref="A45:E45"/>
    <mergeCell ref="A6:E6"/>
    <mergeCell ref="A7:E7"/>
    <mergeCell ref="A46:E46"/>
    <mergeCell ref="A47:E47"/>
    <mergeCell ref="A48:E48"/>
    <mergeCell ref="A1:E1"/>
    <mergeCell ref="A2:E2"/>
    <mergeCell ref="A3:E3"/>
    <mergeCell ref="A4:E4"/>
    <mergeCell ref="A5:E5"/>
  </mergeCells>
  <conditionalFormatting sqref="E12:E41">
    <cfRule type="notContainsBlanks" dxfId="86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E34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593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9" t="s">
        <v>11</v>
      </c>
    </row>
    <row r="12" spans="1:5" ht="15.75" customHeight="1">
      <c r="A12" s="11">
        <v>1</v>
      </c>
      <c r="B12" s="12" t="s">
        <v>594</v>
      </c>
      <c r="C12" s="13" t="s">
        <v>595</v>
      </c>
      <c r="D12" s="15">
        <v>104</v>
      </c>
      <c r="E12" s="18">
        <v>1379059.77</v>
      </c>
    </row>
    <row r="13" spans="1:5" ht="15.75" customHeight="1">
      <c r="A13" s="11">
        <v>2</v>
      </c>
      <c r="B13" s="12" t="s">
        <v>596</v>
      </c>
      <c r="C13" s="13" t="s">
        <v>597</v>
      </c>
      <c r="D13" s="16">
        <v>10</v>
      </c>
      <c r="E13" s="14">
        <v>2466840</v>
      </c>
    </row>
    <row r="14" spans="1:5" ht="15.75" customHeight="1">
      <c r="A14" s="11">
        <v>3</v>
      </c>
      <c r="B14" s="12" t="s">
        <v>598</v>
      </c>
      <c r="C14" s="13" t="s">
        <v>16</v>
      </c>
      <c r="D14" s="22">
        <v>108</v>
      </c>
      <c r="E14" s="14">
        <v>21864</v>
      </c>
    </row>
    <row r="15" spans="1:5" ht="15.75" customHeight="1">
      <c r="A15" s="11">
        <v>4</v>
      </c>
      <c r="B15" s="12" t="s">
        <v>599</v>
      </c>
      <c r="C15" s="13" t="s">
        <v>600</v>
      </c>
      <c r="D15" s="15">
        <v>2471</v>
      </c>
      <c r="E15" s="14">
        <v>1086670</v>
      </c>
    </row>
    <row r="16" spans="1:5" ht="15.75" customHeight="1">
      <c r="A16" s="11">
        <v>5</v>
      </c>
      <c r="B16" s="12" t="s">
        <v>601</v>
      </c>
      <c r="C16" s="13" t="s">
        <v>16</v>
      </c>
      <c r="D16" s="15">
        <v>111</v>
      </c>
      <c r="E16" s="14">
        <v>238581</v>
      </c>
    </row>
    <row r="17" spans="1:5" ht="15.75" customHeight="1">
      <c r="A17" s="11">
        <v>6</v>
      </c>
      <c r="B17" s="12" t="s">
        <v>602</v>
      </c>
      <c r="C17" s="13" t="s">
        <v>546</v>
      </c>
      <c r="D17" s="15">
        <v>40803</v>
      </c>
      <c r="E17" s="19">
        <v>9324</v>
      </c>
    </row>
    <row r="18" spans="1:5" ht="15.75" customHeight="1">
      <c r="A18" s="11">
        <v>7</v>
      </c>
      <c r="B18" s="12" t="s">
        <v>603</v>
      </c>
      <c r="C18" s="13" t="s">
        <v>597</v>
      </c>
      <c r="D18" s="15">
        <v>8</v>
      </c>
      <c r="E18" s="19">
        <v>233600</v>
      </c>
    </row>
    <row r="19" spans="1:5" ht="15.75" customHeight="1">
      <c r="A19" s="11">
        <v>8</v>
      </c>
      <c r="B19" s="17" t="s">
        <v>604</v>
      </c>
      <c r="C19" s="13" t="s">
        <v>605</v>
      </c>
      <c r="D19" s="15">
        <v>67</v>
      </c>
      <c r="E19" s="18">
        <v>6108919</v>
      </c>
    </row>
    <row r="20" spans="1:5" ht="15.75" customHeight="1">
      <c r="A20" s="11">
        <v>9</v>
      </c>
      <c r="B20" s="17" t="s">
        <v>606</v>
      </c>
      <c r="C20" s="13" t="s">
        <v>605</v>
      </c>
      <c r="D20" s="15">
        <v>67</v>
      </c>
      <c r="E20" s="18">
        <v>1917438</v>
      </c>
    </row>
    <row r="21" spans="1:5" ht="15.75" customHeight="1">
      <c r="A21" s="11">
        <v>10</v>
      </c>
      <c r="B21" s="37" t="s">
        <v>607</v>
      </c>
      <c r="C21" s="13" t="s">
        <v>238</v>
      </c>
      <c r="D21" s="22">
        <v>238</v>
      </c>
      <c r="E21" s="18">
        <v>4750</v>
      </c>
    </row>
    <row r="22" spans="1:5" ht="15.75" customHeight="1">
      <c r="A22" s="11">
        <v>11</v>
      </c>
      <c r="B22" s="21" t="s">
        <v>608</v>
      </c>
      <c r="C22" s="13" t="s">
        <v>609</v>
      </c>
      <c r="D22" s="22">
        <v>681</v>
      </c>
      <c r="E22" s="18">
        <v>4257100</v>
      </c>
    </row>
    <row r="23" spans="1:5" ht="15.75" customHeight="1">
      <c r="A23" s="11">
        <v>12</v>
      </c>
      <c r="B23" s="21" t="s">
        <v>610</v>
      </c>
      <c r="C23" s="13" t="s">
        <v>609</v>
      </c>
      <c r="D23" s="23">
        <v>678</v>
      </c>
      <c r="E23" s="18">
        <v>1010620</v>
      </c>
    </row>
    <row r="24" spans="1:5" ht="15.75" customHeight="1">
      <c r="A24" s="11">
        <v>13</v>
      </c>
      <c r="B24" s="21" t="s">
        <v>611</v>
      </c>
      <c r="C24" s="13" t="s">
        <v>16</v>
      </c>
      <c r="D24" s="15">
        <v>115</v>
      </c>
      <c r="E24" s="18">
        <v>13700</v>
      </c>
    </row>
    <row r="25" spans="1:5" ht="15.75" customHeight="1">
      <c r="A25" s="11">
        <v>14</v>
      </c>
      <c r="B25" s="21" t="s">
        <v>612</v>
      </c>
      <c r="C25" s="13" t="s">
        <v>378</v>
      </c>
      <c r="D25" s="15">
        <v>2204</v>
      </c>
      <c r="E25" s="18">
        <v>89100</v>
      </c>
    </row>
    <row r="26" spans="1:5" ht="15.75" customHeight="1">
      <c r="A26" s="11">
        <v>15</v>
      </c>
      <c r="B26" s="21" t="s">
        <v>613</v>
      </c>
      <c r="C26" s="13" t="s">
        <v>378</v>
      </c>
      <c r="D26" s="15">
        <v>604</v>
      </c>
      <c r="E26" s="18">
        <v>60500</v>
      </c>
    </row>
    <row r="27" spans="1:5" ht="15.75" customHeight="1">
      <c r="A27" s="8" t="s">
        <v>24</v>
      </c>
      <c r="B27" s="203"/>
      <c r="C27" s="204"/>
      <c r="D27" s="205"/>
      <c r="E27" s="49">
        <f>SUM(E12:E26)</f>
        <v>18898065.77</v>
      </c>
    </row>
    <row r="28" spans="1:5" ht="15.75" customHeight="1">
      <c r="A28" s="198"/>
      <c r="B28" s="196"/>
      <c r="C28" s="196"/>
      <c r="D28" s="196"/>
      <c r="E28" s="196"/>
    </row>
    <row r="29" spans="1:5" ht="15.75" customHeight="1">
      <c r="A29" s="198" t="s">
        <v>614</v>
      </c>
      <c r="B29" s="196"/>
      <c r="C29" s="196"/>
      <c r="D29" s="196"/>
      <c r="E29" s="27">
        <f>IF(E27&gt;=10000000,5000000*2%+5000000*1%+(E27-10000000)*0.5%,IF(E27&gt;=5000000,5000000*2%+(E27-5000000)*1%,E27*2%))</f>
        <v>194490.32884999999</v>
      </c>
    </row>
    <row r="30" spans="1:5" ht="14.25" customHeight="1">
      <c r="A30" s="198" t="s">
        <v>25</v>
      </c>
      <c r="B30" s="196"/>
      <c r="C30" s="196"/>
      <c r="D30" s="196"/>
      <c r="E30" s="196"/>
    </row>
    <row r="31" spans="1:5" ht="35.25" customHeight="1">
      <c r="A31" s="206"/>
      <c r="B31" s="196"/>
      <c r="C31" s="196"/>
      <c r="D31" s="196"/>
      <c r="E31" s="196"/>
    </row>
    <row r="32" spans="1:5" ht="15.75" customHeight="1">
      <c r="A32" s="198" t="s">
        <v>26</v>
      </c>
      <c r="B32" s="196"/>
      <c r="C32" s="196"/>
      <c r="D32" s="196"/>
      <c r="E32" s="196"/>
    </row>
    <row r="33" spans="1:5" ht="15.75" customHeight="1">
      <c r="A33" s="198" t="s">
        <v>27</v>
      </c>
      <c r="B33" s="196"/>
      <c r="C33" s="196"/>
      <c r="D33" s="196"/>
      <c r="E33" s="196"/>
    </row>
    <row r="34" spans="1:5" ht="15.75" customHeight="1">
      <c r="A34" s="198" t="s">
        <v>28</v>
      </c>
      <c r="B34" s="196"/>
      <c r="C34" s="196"/>
      <c r="D34" s="196"/>
      <c r="E34" s="196"/>
    </row>
  </sheetData>
  <mergeCells count="18">
    <mergeCell ref="A34:E34"/>
    <mergeCell ref="A8:E8"/>
    <mergeCell ref="A9:E9"/>
    <mergeCell ref="A10:E10"/>
    <mergeCell ref="B27:D27"/>
    <mergeCell ref="A28:E28"/>
    <mergeCell ref="A29:D29"/>
    <mergeCell ref="A30:E30"/>
    <mergeCell ref="A6:E6"/>
    <mergeCell ref="A7:E7"/>
    <mergeCell ref="A31:E31"/>
    <mergeCell ref="A32:E32"/>
    <mergeCell ref="A33:E33"/>
    <mergeCell ref="A1:E1"/>
    <mergeCell ref="A2:E2"/>
    <mergeCell ref="A3:E3"/>
    <mergeCell ref="A4:E4"/>
    <mergeCell ref="A5:E5"/>
  </mergeCells>
  <conditionalFormatting sqref="E12:E26">
    <cfRule type="notContainsBlanks" dxfId="85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E22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593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9" t="s">
        <v>11</v>
      </c>
    </row>
    <row r="12" spans="1:5" ht="15.75" customHeight="1">
      <c r="A12" s="11">
        <v>1</v>
      </c>
      <c r="B12" s="12" t="s">
        <v>601</v>
      </c>
      <c r="C12" s="13" t="s">
        <v>16</v>
      </c>
      <c r="D12" s="15">
        <v>111</v>
      </c>
      <c r="E12" s="14">
        <v>238581</v>
      </c>
    </row>
    <row r="13" spans="1:5" ht="15.75" customHeight="1">
      <c r="A13" s="11">
        <v>2</v>
      </c>
      <c r="B13" s="12" t="s">
        <v>603</v>
      </c>
      <c r="C13" s="13" t="s">
        <v>597</v>
      </c>
      <c r="D13" s="15">
        <v>8</v>
      </c>
      <c r="E13" s="19">
        <v>233600</v>
      </c>
    </row>
    <row r="14" spans="1:5" ht="15.75" customHeight="1">
      <c r="A14" s="11">
        <v>3</v>
      </c>
      <c r="B14" s="21" t="s">
        <v>608</v>
      </c>
      <c r="C14" s="13" t="s">
        <v>609</v>
      </c>
      <c r="D14" s="22">
        <v>681</v>
      </c>
      <c r="E14" s="18">
        <v>4235121.87</v>
      </c>
    </row>
    <row r="15" spans="1:5" ht="15.75" customHeight="1">
      <c r="A15" s="8" t="s">
        <v>24</v>
      </c>
      <c r="B15" s="203"/>
      <c r="C15" s="204"/>
      <c r="D15" s="205"/>
      <c r="E15" s="49">
        <f>SUM(E12:E14)</f>
        <v>4707302.87</v>
      </c>
    </row>
    <row r="16" spans="1:5" ht="15.75" customHeight="1">
      <c r="A16" s="198"/>
      <c r="B16" s="196"/>
      <c r="C16" s="196"/>
      <c r="D16" s="196"/>
      <c r="E16" s="196"/>
    </row>
    <row r="17" spans="1:5" ht="15.75" customHeight="1">
      <c r="A17" s="198" t="s">
        <v>614</v>
      </c>
      <c r="B17" s="196"/>
      <c r="C17" s="196"/>
      <c r="D17" s="196"/>
      <c r="E17" s="27">
        <f>E15*8%</f>
        <v>376584.22960000002</v>
      </c>
    </row>
    <row r="18" spans="1:5" ht="14.25" customHeight="1">
      <c r="A18" s="198" t="s">
        <v>25</v>
      </c>
      <c r="B18" s="196"/>
      <c r="C18" s="196"/>
      <c r="D18" s="196"/>
      <c r="E18" s="196"/>
    </row>
    <row r="19" spans="1:5" ht="35.25" customHeight="1">
      <c r="A19" s="206"/>
      <c r="B19" s="196"/>
      <c r="C19" s="196"/>
      <c r="D19" s="196"/>
      <c r="E19" s="196"/>
    </row>
    <row r="20" spans="1:5" ht="15.75" customHeight="1">
      <c r="A20" s="198" t="s">
        <v>26</v>
      </c>
      <c r="B20" s="196"/>
      <c r="C20" s="196"/>
      <c r="D20" s="196"/>
      <c r="E20" s="196"/>
    </row>
    <row r="21" spans="1:5" ht="15.75" customHeight="1">
      <c r="A21" s="198" t="s">
        <v>27</v>
      </c>
      <c r="B21" s="196"/>
      <c r="C21" s="196"/>
      <c r="D21" s="196"/>
      <c r="E21" s="196"/>
    </row>
    <row r="22" spans="1:5" ht="15.75" customHeight="1">
      <c r="A22" s="198" t="s">
        <v>28</v>
      </c>
      <c r="B22" s="196"/>
      <c r="C22" s="196"/>
      <c r="D22" s="196"/>
      <c r="E22" s="196"/>
    </row>
  </sheetData>
  <mergeCells count="18">
    <mergeCell ref="A22:E22"/>
    <mergeCell ref="A8:E8"/>
    <mergeCell ref="A9:E9"/>
    <mergeCell ref="A10:E10"/>
    <mergeCell ref="B15:D15"/>
    <mergeCell ref="A16:E16"/>
    <mergeCell ref="A17:D17"/>
    <mergeCell ref="A18:E18"/>
    <mergeCell ref="A6:E6"/>
    <mergeCell ref="A7:E7"/>
    <mergeCell ref="A19:E19"/>
    <mergeCell ref="A20:E20"/>
    <mergeCell ref="A21:E21"/>
    <mergeCell ref="A1:E1"/>
    <mergeCell ref="A2:E2"/>
    <mergeCell ref="A3:E3"/>
    <mergeCell ref="A4:E4"/>
    <mergeCell ref="A5:E5"/>
  </mergeCells>
  <conditionalFormatting sqref="E12:E14">
    <cfRule type="notContainsBlanks" dxfId="84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46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615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616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9" t="s">
        <v>11</v>
      </c>
    </row>
    <row r="12" spans="1:5" ht="15.75" customHeight="1">
      <c r="A12" s="11">
        <v>1</v>
      </c>
      <c r="B12" s="12" t="s">
        <v>617</v>
      </c>
      <c r="C12" s="13" t="s">
        <v>240</v>
      </c>
      <c r="D12" s="15">
        <v>286</v>
      </c>
      <c r="E12" s="18">
        <v>180000</v>
      </c>
    </row>
    <row r="13" spans="1:5" ht="15.75" customHeight="1">
      <c r="A13" s="11">
        <v>2</v>
      </c>
      <c r="B13" s="12" t="s">
        <v>618</v>
      </c>
      <c r="C13" s="13" t="s">
        <v>619</v>
      </c>
      <c r="D13" s="16">
        <v>125</v>
      </c>
      <c r="E13" s="14">
        <v>1909200</v>
      </c>
    </row>
    <row r="14" spans="1:5" ht="15.75" customHeight="1">
      <c r="A14" s="11">
        <v>3</v>
      </c>
      <c r="B14" s="12" t="s">
        <v>620</v>
      </c>
      <c r="C14" s="13" t="s">
        <v>81</v>
      </c>
      <c r="D14" s="22" t="s">
        <v>621</v>
      </c>
      <c r="E14" s="14">
        <v>21530</v>
      </c>
    </row>
    <row r="15" spans="1:5" ht="15.75" customHeight="1">
      <c r="A15" s="11">
        <v>4</v>
      </c>
      <c r="B15" s="12" t="s">
        <v>622</v>
      </c>
      <c r="C15" s="13" t="s">
        <v>19</v>
      </c>
      <c r="D15" s="15" t="s">
        <v>623</v>
      </c>
      <c r="E15" s="14">
        <v>129497.04</v>
      </c>
    </row>
    <row r="16" spans="1:5" ht="15.75" customHeight="1">
      <c r="A16" s="11">
        <v>5</v>
      </c>
      <c r="B16" s="12" t="s">
        <v>624</v>
      </c>
      <c r="C16" s="13" t="s">
        <v>143</v>
      </c>
      <c r="D16" s="15">
        <v>285</v>
      </c>
      <c r="E16" s="14">
        <v>205270</v>
      </c>
    </row>
    <row r="17" spans="1:5" ht="15.75" customHeight="1">
      <c r="A17" s="11">
        <v>6</v>
      </c>
      <c r="B17" s="12" t="s">
        <v>625</v>
      </c>
      <c r="C17" s="13" t="s">
        <v>626</v>
      </c>
      <c r="D17" s="15">
        <v>796</v>
      </c>
      <c r="E17" s="19">
        <v>19157</v>
      </c>
    </row>
    <row r="18" spans="1:5" ht="15.75" customHeight="1">
      <c r="A18" s="11">
        <v>7</v>
      </c>
      <c r="B18" s="12" t="s">
        <v>627</v>
      </c>
      <c r="C18" s="13" t="s">
        <v>378</v>
      </c>
      <c r="D18" s="15">
        <v>1905</v>
      </c>
      <c r="E18" s="19">
        <f>17050/100*93</f>
        <v>15856.5</v>
      </c>
    </row>
    <row r="19" spans="1:5" ht="15.75" customHeight="1">
      <c r="A19" s="11">
        <v>8</v>
      </c>
      <c r="B19" s="37" t="s">
        <v>628</v>
      </c>
      <c r="C19" s="13" t="s">
        <v>629</v>
      </c>
      <c r="D19" s="22">
        <v>100</v>
      </c>
      <c r="E19" s="18">
        <v>12450</v>
      </c>
    </row>
    <row r="20" spans="1:5" ht="15.75" customHeight="1">
      <c r="A20" s="11">
        <v>9</v>
      </c>
      <c r="B20" s="21" t="s">
        <v>630</v>
      </c>
      <c r="C20" s="50" t="s">
        <v>102</v>
      </c>
      <c r="D20" s="23" t="s">
        <v>102</v>
      </c>
      <c r="E20" s="18">
        <v>4248.9399999999996</v>
      </c>
    </row>
    <row r="21" spans="1:5" ht="15.75" customHeight="1">
      <c r="A21" s="11">
        <v>10</v>
      </c>
      <c r="B21" s="21" t="s">
        <v>631</v>
      </c>
      <c r="C21" s="13" t="s">
        <v>81</v>
      </c>
      <c r="D21" s="23" t="s">
        <v>632</v>
      </c>
      <c r="E21" s="18">
        <v>140990</v>
      </c>
    </row>
    <row r="22" spans="1:5" ht="15.75" customHeight="1">
      <c r="A22" s="11">
        <v>11</v>
      </c>
      <c r="B22" s="21" t="s">
        <v>633</v>
      </c>
      <c r="C22" s="13" t="s">
        <v>634</v>
      </c>
      <c r="D22" s="23">
        <v>211</v>
      </c>
      <c r="E22" s="18">
        <v>22360</v>
      </c>
    </row>
    <row r="23" spans="1:5" ht="15.75" customHeight="1">
      <c r="A23" s="11">
        <v>12</v>
      </c>
      <c r="B23" s="12" t="s">
        <v>635</v>
      </c>
      <c r="C23" s="13" t="s">
        <v>309</v>
      </c>
      <c r="D23" s="23" t="s">
        <v>636</v>
      </c>
      <c r="E23" s="19">
        <v>71886.64</v>
      </c>
    </row>
    <row r="24" spans="1:5" ht="15.75" customHeight="1">
      <c r="A24" s="11">
        <v>13</v>
      </c>
      <c r="B24" s="35" t="s">
        <v>637</v>
      </c>
      <c r="C24" s="13" t="s">
        <v>638</v>
      </c>
      <c r="D24" s="39" t="s">
        <v>639</v>
      </c>
      <c r="E24" s="14">
        <v>137850</v>
      </c>
    </row>
    <row r="25" spans="1:5" ht="15.75" customHeight="1">
      <c r="A25" s="11">
        <v>14</v>
      </c>
      <c r="B25" s="12" t="s">
        <v>640</v>
      </c>
      <c r="C25" s="13" t="s">
        <v>81</v>
      </c>
      <c r="D25" s="15" t="s">
        <v>641</v>
      </c>
      <c r="E25" s="14">
        <v>67570</v>
      </c>
    </row>
    <row r="26" spans="1:5" ht="15.75" customHeight="1">
      <c r="A26" s="11">
        <v>15</v>
      </c>
      <c r="B26" s="12" t="s">
        <v>642</v>
      </c>
      <c r="C26" s="13" t="s">
        <v>643</v>
      </c>
      <c r="D26" s="15">
        <v>8455</v>
      </c>
      <c r="E26" s="19">
        <v>72761.600000000006</v>
      </c>
    </row>
    <row r="27" spans="1:5" ht="15.75" customHeight="1">
      <c r="A27" s="11">
        <v>16</v>
      </c>
      <c r="B27" s="12" t="s">
        <v>644</v>
      </c>
      <c r="C27" s="13" t="s">
        <v>643</v>
      </c>
      <c r="D27" s="15">
        <v>8545</v>
      </c>
      <c r="E27" s="18">
        <v>116975.72</v>
      </c>
    </row>
    <row r="28" spans="1:5" ht="15.75" customHeight="1">
      <c r="A28" s="11">
        <v>17</v>
      </c>
      <c r="B28" s="21" t="s">
        <v>645</v>
      </c>
      <c r="C28" s="50" t="s">
        <v>102</v>
      </c>
      <c r="D28" s="23" t="s">
        <v>102</v>
      </c>
      <c r="E28" s="18">
        <v>15248</v>
      </c>
    </row>
    <row r="29" spans="1:5" ht="15.75" customHeight="1">
      <c r="A29" s="11">
        <v>18</v>
      </c>
      <c r="B29" s="21" t="s">
        <v>646</v>
      </c>
      <c r="C29" s="13" t="s">
        <v>218</v>
      </c>
      <c r="D29" s="23">
        <v>300</v>
      </c>
      <c r="E29" s="18">
        <v>361500</v>
      </c>
    </row>
    <row r="30" spans="1:5" ht="15.75" customHeight="1">
      <c r="A30" s="11">
        <v>19</v>
      </c>
      <c r="B30" s="21" t="s">
        <v>647</v>
      </c>
      <c r="C30" s="13" t="s">
        <v>19</v>
      </c>
      <c r="D30" s="23" t="s">
        <v>648</v>
      </c>
      <c r="E30" s="18">
        <v>20272.96</v>
      </c>
    </row>
    <row r="31" spans="1:5" ht="15.75" customHeight="1">
      <c r="A31" s="11">
        <v>20</v>
      </c>
      <c r="B31" s="21" t="s">
        <v>649</v>
      </c>
      <c r="C31" s="13" t="s">
        <v>650</v>
      </c>
      <c r="D31" s="23">
        <v>164</v>
      </c>
      <c r="E31" s="18">
        <v>25600</v>
      </c>
    </row>
    <row r="32" spans="1:5" ht="15.75" customHeight="1">
      <c r="A32" s="11">
        <v>21</v>
      </c>
      <c r="B32" s="21" t="s">
        <v>651</v>
      </c>
      <c r="C32" s="13" t="s">
        <v>652</v>
      </c>
      <c r="D32" s="23">
        <v>1147</v>
      </c>
      <c r="E32" s="18">
        <v>34850</v>
      </c>
    </row>
    <row r="33" spans="1:5" ht="15.75" customHeight="1">
      <c r="A33" s="11">
        <v>22</v>
      </c>
      <c r="B33" s="21" t="s">
        <v>653</v>
      </c>
      <c r="C33" s="13" t="s">
        <v>654</v>
      </c>
      <c r="D33" s="23">
        <v>412</v>
      </c>
      <c r="E33" s="18">
        <v>5590</v>
      </c>
    </row>
    <row r="34" spans="1:5" ht="15.75" customHeight="1">
      <c r="A34" s="11">
        <v>23</v>
      </c>
      <c r="B34" s="21" t="s">
        <v>655</v>
      </c>
      <c r="C34" s="13" t="s">
        <v>656</v>
      </c>
      <c r="D34" s="23" t="s">
        <v>657</v>
      </c>
      <c r="E34" s="18">
        <v>1543440</v>
      </c>
    </row>
    <row r="35" spans="1:5" ht="15.75" customHeight="1">
      <c r="A35" s="11">
        <v>24</v>
      </c>
      <c r="B35" s="21" t="s">
        <v>658</v>
      </c>
      <c r="C35" s="13" t="s">
        <v>659</v>
      </c>
      <c r="D35" s="23">
        <v>1641</v>
      </c>
      <c r="E35" s="18">
        <v>20492</v>
      </c>
    </row>
    <row r="36" spans="1:5" ht="15.75" customHeight="1">
      <c r="A36" s="11">
        <v>25</v>
      </c>
      <c r="B36" s="21" t="s">
        <v>660</v>
      </c>
      <c r="C36" s="13" t="s">
        <v>661</v>
      </c>
      <c r="D36" s="23">
        <v>2133</v>
      </c>
      <c r="E36" s="18">
        <v>321500</v>
      </c>
    </row>
    <row r="37" spans="1:5" ht="15.75" customHeight="1">
      <c r="A37" s="8" t="s">
        <v>24</v>
      </c>
      <c r="B37" s="203"/>
      <c r="C37" s="204"/>
      <c r="D37" s="205"/>
      <c r="E37" s="49">
        <f>SUM(E12:E36)</f>
        <v>5476096.4000000004</v>
      </c>
    </row>
    <row r="38" spans="1:5" ht="15.75" customHeight="1">
      <c r="A38" s="198"/>
      <c r="B38" s="196"/>
      <c r="C38" s="196"/>
      <c r="D38" s="196"/>
      <c r="E38" s="196"/>
    </row>
    <row r="39" spans="1:5" ht="15.75" customHeight="1">
      <c r="A39" s="198" t="s">
        <v>662</v>
      </c>
      <c r="B39" s="196"/>
      <c r="C39" s="196"/>
      <c r="D39" s="196"/>
      <c r="E39" s="27">
        <f>IF(E37&gt;=10000000,5000000*2%+5000000*1%+(E37-10000000)*0.5%,IF(E37&gt;=5000000,5000000*2%+(E37-5000000)*1%,E37*2%))</f>
        <v>104760.96400000001</v>
      </c>
    </row>
    <row r="40" spans="1:5" ht="14.25" customHeight="1">
      <c r="A40" s="198" t="s">
        <v>25</v>
      </c>
      <c r="B40" s="196"/>
      <c r="C40" s="196"/>
      <c r="D40" s="196"/>
      <c r="E40" s="196"/>
    </row>
    <row r="41" spans="1:5" ht="14.25" customHeight="1">
      <c r="A41" s="6"/>
      <c r="B41" s="6"/>
      <c r="C41" s="6"/>
      <c r="D41" s="6"/>
      <c r="E41" s="67"/>
    </row>
    <row r="42" spans="1:5" ht="14.25" customHeight="1">
      <c r="A42" s="6"/>
      <c r="B42" s="6"/>
      <c r="C42" s="6"/>
      <c r="D42" s="6"/>
      <c r="E42" s="67"/>
    </row>
    <row r="43" spans="1:5" ht="35.25" customHeight="1">
      <c r="A43" s="198"/>
      <c r="B43" s="196"/>
      <c r="C43" s="196"/>
      <c r="D43" s="196"/>
      <c r="E43" s="196"/>
    </row>
    <row r="44" spans="1:5" ht="15.75" customHeight="1">
      <c r="A44" s="198" t="s">
        <v>26</v>
      </c>
      <c r="B44" s="196"/>
      <c r="C44" s="196"/>
      <c r="D44" s="196"/>
      <c r="E44" s="196"/>
    </row>
    <row r="45" spans="1:5" ht="15.75" customHeight="1">
      <c r="A45" s="198" t="s">
        <v>27</v>
      </c>
      <c r="B45" s="196"/>
      <c r="C45" s="196"/>
      <c r="D45" s="196"/>
      <c r="E45" s="196"/>
    </row>
    <row r="46" spans="1:5" ht="15.75" customHeight="1">
      <c r="A46" s="198" t="s">
        <v>28</v>
      </c>
      <c r="B46" s="196"/>
      <c r="C46" s="196"/>
      <c r="D46" s="196"/>
      <c r="E46" s="196"/>
    </row>
  </sheetData>
  <mergeCells count="18">
    <mergeCell ref="A46:E46"/>
    <mergeCell ref="A8:E8"/>
    <mergeCell ref="A9:E9"/>
    <mergeCell ref="A10:E10"/>
    <mergeCell ref="B37:D37"/>
    <mergeCell ref="A38:E38"/>
    <mergeCell ref="A39:D39"/>
    <mergeCell ref="A40:E40"/>
    <mergeCell ref="A6:E6"/>
    <mergeCell ref="A7:E7"/>
    <mergeCell ref="A43:E43"/>
    <mergeCell ref="A44:E44"/>
    <mergeCell ref="A45:E45"/>
    <mergeCell ref="A1:E1"/>
    <mergeCell ref="A2:E2"/>
    <mergeCell ref="A3:E3"/>
    <mergeCell ref="A4:E4"/>
    <mergeCell ref="A5:E5"/>
  </mergeCells>
  <conditionalFormatting sqref="E12:E36">
    <cfRule type="notContainsBlanks" dxfId="83" priority="1">
      <formula>LEN(TRIM(E12))&gt;0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E28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615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616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9" t="s">
        <v>11</v>
      </c>
    </row>
    <row r="12" spans="1:5" ht="15.75" customHeight="1">
      <c r="A12" s="11">
        <v>1</v>
      </c>
      <c r="B12" s="12" t="s">
        <v>617</v>
      </c>
      <c r="C12" s="13" t="s">
        <v>240</v>
      </c>
      <c r="D12" s="15">
        <v>286</v>
      </c>
      <c r="E12" s="18">
        <v>180000</v>
      </c>
    </row>
    <row r="13" spans="1:5" ht="15.75" customHeight="1">
      <c r="A13" s="11">
        <v>2</v>
      </c>
      <c r="B13" s="12" t="s">
        <v>618</v>
      </c>
      <c r="C13" s="13" t="s">
        <v>619</v>
      </c>
      <c r="D13" s="16">
        <v>125</v>
      </c>
      <c r="E13" s="14">
        <v>1909200</v>
      </c>
    </row>
    <row r="14" spans="1:5" ht="15.75" customHeight="1">
      <c r="A14" s="11">
        <v>3</v>
      </c>
      <c r="B14" s="12" t="s">
        <v>620</v>
      </c>
      <c r="C14" s="13" t="s">
        <v>81</v>
      </c>
      <c r="D14" s="22" t="s">
        <v>621</v>
      </c>
      <c r="E14" s="14">
        <v>21530</v>
      </c>
    </row>
    <row r="15" spans="1:5" ht="15.75" customHeight="1">
      <c r="A15" s="11">
        <v>4</v>
      </c>
      <c r="B15" s="12" t="s">
        <v>622</v>
      </c>
      <c r="C15" s="13" t="s">
        <v>19</v>
      </c>
      <c r="D15" s="15" t="s">
        <v>623</v>
      </c>
      <c r="E15" s="14">
        <v>129497.04</v>
      </c>
    </row>
    <row r="16" spans="1:5" ht="15.75" customHeight="1">
      <c r="A16" s="11">
        <v>5</v>
      </c>
      <c r="B16" s="12" t="s">
        <v>624</v>
      </c>
      <c r="C16" s="13" t="s">
        <v>143</v>
      </c>
      <c r="D16" s="15">
        <v>285</v>
      </c>
      <c r="E16" s="14">
        <v>205270</v>
      </c>
    </row>
    <row r="17" spans="1:5" ht="15.75" customHeight="1">
      <c r="A17" s="11">
        <v>6</v>
      </c>
      <c r="B17" s="12" t="s">
        <v>625</v>
      </c>
      <c r="C17" s="13" t="s">
        <v>626</v>
      </c>
      <c r="D17" s="15">
        <v>796</v>
      </c>
      <c r="E17" s="19">
        <v>19095.46</v>
      </c>
    </row>
    <row r="18" spans="1:5" ht="15.75" customHeight="1">
      <c r="A18" s="11">
        <v>7</v>
      </c>
      <c r="B18" s="21" t="s">
        <v>655</v>
      </c>
      <c r="C18" s="13" t="s">
        <v>656</v>
      </c>
      <c r="D18" s="23" t="s">
        <v>657</v>
      </c>
      <c r="E18" s="18">
        <v>1543440</v>
      </c>
    </row>
    <row r="19" spans="1:5" ht="15.75" customHeight="1">
      <c r="A19" s="8" t="s">
        <v>24</v>
      </c>
      <c r="B19" s="203"/>
      <c r="C19" s="204"/>
      <c r="D19" s="205"/>
      <c r="E19" s="49">
        <f>SUM(E12:E18)</f>
        <v>4008032.5</v>
      </c>
    </row>
    <row r="20" spans="1:5" ht="15.75" customHeight="1">
      <c r="A20" s="198"/>
      <c r="B20" s="196"/>
      <c r="C20" s="196"/>
      <c r="D20" s="196"/>
      <c r="E20" s="196"/>
    </row>
    <row r="21" spans="1:5" ht="15.75" customHeight="1">
      <c r="A21" s="198" t="s">
        <v>662</v>
      </c>
      <c r="B21" s="196"/>
      <c r="C21" s="196"/>
      <c r="D21" s="196"/>
      <c r="E21" s="27">
        <f>E19*8%</f>
        <v>320642.60000000003</v>
      </c>
    </row>
    <row r="22" spans="1:5" ht="14.25" customHeight="1">
      <c r="A22" s="198" t="s">
        <v>25</v>
      </c>
      <c r="B22" s="196"/>
      <c r="C22" s="196"/>
      <c r="D22" s="196"/>
      <c r="E22" s="196"/>
    </row>
    <row r="23" spans="1:5" ht="14.25" customHeight="1">
      <c r="A23" s="6"/>
      <c r="B23" s="6"/>
      <c r="C23" s="6"/>
      <c r="D23" s="6"/>
      <c r="E23" s="67"/>
    </row>
    <row r="24" spans="1:5" ht="14.25" customHeight="1">
      <c r="A24" s="6"/>
      <c r="B24" s="6"/>
      <c r="C24" s="6"/>
      <c r="D24" s="6"/>
      <c r="E24" s="67"/>
    </row>
    <row r="25" spans="1:5" ht="35.25" customHeight="1">
      <c r="A25" s="198"/>
      <c r="B25" s="196"/>
      <c r="C25" s="196"/>
      <c r="D25" s="196"/>
      <c r="E25" s="196"/>
    </row>
    <row r="26" spans="1:5" ht="15.75" customHeight="1">
      <c r="A26" s="198" t="s">
        <v>26</v>
      </c>
      <c r="B26" s="196"/>
      <c r="C26" s="196"/>
      <c r="D26" s="196"/>
      <c r="E26" s="196"/>
    </row>
    <row r="27" spans="1:5" ht="15.75" customHeight="1">
      <c r="A27" s="198" t="s">
        <v>27</v>
      </c>
      <c r="B27" s="196"/>
      <c r="C27" s="196"/>
      <c r="D27" s="196"/>
      <c r="E27" s="196"/>
    </row>
    <row r="28" spans="1:5" ht="15.75" customHeight="1">
      <c r="A28" s="198" t="s">
        <v>28</v>
      </c>
      <c r="B28" s="196"/>
      <c r="C28" s="196"/>
      <c r="D28" s="196"/>
      <c r="E28" s="196"/>
    </row>
  </sheetData>
  <mergeCells count="18">
    <mergeCell ref="A28:E28"/>
    <mergeCell ref="A8:E8"/>
    <mergeCell ref="A9:E9"/>
    <mergeCell ref="A10:E10"/>
    <mergeCell ref="B19:D19"/>
    <mergeCell ref="A20:E20"/>
    <mergeCell ref="A21:D21"/>
    <mergeCell ref="A22:E22"/>
    <mergeCell ref="A6:E6"/>
    <mergeCell ref="A7:E7"/>
    <mergeCell ref="A25:E25"/>
    <mergeCell ref="A26:E26"/>
    <mergeCell ref="A27:E27"/>
    <mergeCell ref="A1:E1"/>
    <mergeCell ref="A2:E2"/>
    <mergeCell ref="A3:E3"/>
    <mergeCell ref="A4:E4"/>
    <mergeCell ref="A5:E5"/>
  </mergeCells>
  <conditionalFormatting sqref="E12:E18">
    <cfRule type="notContainsBlanks" dxfId="82" priority="1">
      <formula>LEN(TRIM(E12))&gt;0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E39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663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9" t="s">
        <v>11</v>
      </c>
    </row>
    <row r="12" spans="1:5" ht="15.75" customHeight="1">
      <c r="A12" s="11">
        <v>1</v>
      </c>
      <c r="B12" s="12" t="s">
        <v>664</v>
      </c>
      <c r="C12" s="13" t="s">
        <v>665</v>
      </c>
      <c r="D12" s="15" t="s">
        <v>666</v>
      </c>
      <c r="E12" s="18">
        <v>44750</v>
      </c>
    </row>
    <row r="13" spans="1:5" ht="15.75" customHeight="1">
      <c r="A13" s="11">
        <v>2</v>
      </c>
      <c r="B13" s="12" t="s">
        <v>667</v>
      </c>
      <c r="C13" s="46" t="s">
        <v>668</v>
      </c>
      <c r="D13" s="15" t="s">
        <v>669</v>
      </c>
      <c r="E13" s="14">
        <v>100800</v>
      </c>
    </row>
    <row r="14" spans="1:5" ht="15.75" customHeight="1">
      <c r="A14" s="11">
        <v>3</v>
      </c>
      <c r="B14" s="21" t="s">
        <v>670</v>
      </c>
      <c r="C14" s="13" t="s">
        <v>73</v>
      </c>
      <c r="D14" s="23">
        <v>874</v>
      </c>
      <c r="E14" s="18">
        <v>9702</v>
      </c>
    </row>
    <row r="15" spans="1:5" ht="15.75" customHeight="1">
      <c r="A15" s="11">
        <v>4</v>
      </c>
      <c r="B15" s="12" t="s">
        <v>671</v>
      </c>
      <c r="C15" s="13" t="s">
        <v>672</v>
      </c>
      <c r="D15" s="15">
        <v>6962</v>
      </c>
      <c r="E15" s="14">
        <v>1617348.56</v>
      </c>
    </row>
    <row r="16" spans="1:5" ht="15.75" customHeight="1">
      <c r="A16" s="11">
        <v>5</v>
      </c>
      <c r="B16" s="12" t="s">
        <v>673</v>
      </c>
      <c r="C16" s="13" t="s">
        <v>16</v>
      </c>
      <c r="D16" s="15">
        <v>203</v>
      </c>
      <c r="E16" s="14">
        <v>15100</v>
      </c>
    </row>
    <row r="17" spans="1:5" ht="15.75" customHeight="1">
      <c r="A17" s="11">
        <v>6</v>
      </c>
      <c r="B17" s="12" t="s">
        <v>674</v>
      </c>
      <c r="C17" s="13" t="s">
        <v>675</v>
      </c>
      <c r="D17" s="15" t="s">
        <v>676</v>
      </c>
      <c r="E17" s="19">
        <v>107999</v>
      </c>
    </row>
    <row r="18" spans="1:5" ht="15.75" customHeight="1">
      <c r="A18" s="11">
        <v>7</v>
      </c>
      <c r="B18" s="12" t="s">
        <v>677</v>
      </c>
      <c r="C18" s="13" t="s">
        <v>665</v>
      </c>
      <c r="D18" s="15" t="s">
        <v>678</v>
      </c>
      <c r="E18" s="19">
        <v>42800</v>
      </c>
    </row>
    <row r="19" spans="1:5" ht="15.75" customHeight="1">
      <c r="A19" s="11">
        <v>8</v>
      </c>
      <c r="B19" s="17" t="s">
        <v>679</v>
      </c>
      <c r="C19" s="13" t="s">
        <v>218</v>
      </c>
      <c r="D19" s="15">
        <v>331</v>
      </c>
      <c r="E19" s="18">
        <v>210200</v>
      </c>
    </row>
    <row r="20" spans="1:5" ht="15.75" customHeight="1">
      <c r="A20" s="11">
        <v>9</v>
      </c>
      <c r="B20" s="17" t="s">
        <v>680</v>
      </c>
      <c r="C20" s="13" t="s">
        <v>56</v>
      </c>
      <c r="D20" s="15">
        <v>211</v>
      </c>
      <c r="E20" s="18">
        <v>23970</v>
      </c>
    </row>
    <row r="21" spans="1:5" ht="15.75" customHeight="1">
      <c r="A21" s="11">
        <v>10</v>
      </c>
      <c r="B21" s="37" t="s">
        <v>681</v>
      </c>
      <c r="C21" s="13" t="s">
        <v>672</v>
      </c>
      <c r="D21" s="22">
        <v>7008</v>
      </c>
      <c r="E21" s="18">
        <v>911200</v>
      </c>
    </row>
    <row r="22" spans="1:5" ht="15.75" customHeight="1">
      <c r="A22" s="11">
        <v>11</v>
      </c>
      <c r="B22" s="21" t="s">
        <v>682</v>
      </c>
      <c r="C22" s="13" t="s">
        <v>309</v>
      </c>
      <c r="D22" s="23" t="s">
        <v>683</v>
      </c>
      <c r="E22" s="18">
        <v>29315.119999999999</v>
      </c>
    </row>
    <row r="23" spans="1:5" ht="15.75" customHeight="1">
      <c r="A23" s="11">
        <v>12</v>
      </c>
      <c r="B23" s="41" t="s">
        <v>684</v>
      </c>
      <c r="C23" s="42" t="s">
        <v>19</v>
      </c>
      <c r="D23" s="68" t="s">
        <v>685</v>
      </c>
      <c r="E23" s="44">
        <v>49178.32</v>
      </c>
    </row>
    <row r="24" spans="1:5" ht="15.75" customHeight="1">
      <c r="A24" s="11">
        <v>13</v>
      </c>
      <c r="B24" s="69" t="s">
        <v>686</v>
      </c>
      <c r="C24" s="46" t="s">
        <v>668</v>
      </c>
      <c r="D24" s="70" t="s">
        <v>687</v>
      </c>
      <c r="E24" s="48">
        <v>26000</v>
      </c>
    </row>
    <row r="25" spans="1:5" ht="15.75" customHeight="1">
      <c r="A25" s="11">
        <v>14</v>
      </c>
      <c r="B25" s="69" t="s">
        <v>688</v>
      </c>
      <c r="C25" s="46" t="s">
        <v>689</v>
      </c>
      <c r="D25" s="70">
        <v>412</v>
      </c>
      <c r="E25" s="71">
        <v>504000</v>
      </c>
    </row>
    <row r="26" spans="1:5" ht="15.75" customHeight="1">
      <c r="A26" s="11">
        <v>15</v>
      </c>
      <c r="B26" s="69" t="s">
        <v>690</v>
      </c>
      <c r="C26" s="46" t="s">
        <v>691</v>
      </c>
      <c r="D26" s="70">
        <v>78</v>
      </c>
      <c r="E26" s="48">
        <v>148320</v>
      </c>
    </row>
    <row r="27" spans="1:5" ht="15.75" customHeight="1">
      <c r="A27" s="11">
        <v>16</v>
      </c>
      <c r="B27" s="45" t="s">
        <v>692</v>
      </c>
      <c r="C27" s="72" t="s">
        <v>81</v>
      </c>
      <c r="D27" s="73" t="s">
        <v>693</v>
      </c>
      <c r="E27" s="48">
        <v>42945</v>
      </c>
    </row>
    <row r="28" spans="1:5" ht="15.75" customHeight="1">
      <c r="A28" s="11">
        <v>17</v>
      </c>
      <c r="B28" s="45" t="s">
        <v>694</v>
      </c>
      <c r="C28" s="46" t="s">
        <v>695</v>
      </c>
      <c r="D28" s="73">
        <v>24</v>
      </c>
      <c r="E28" s="48">
        <v>19800</v>
      </c>
    </row>
    <row r="29" spans="1:5" ht="15.75" customHeight="1">
      <c r="A29" s="11">
        <v>18</v>
      </c>
      <c r="B29" s="12" t="s">
        <v>696</v>
      </c>
      <c r="C29" s="13" t="s">
        <v>697</v>
      </c>
      <c r="D29" s="15">
        <v>963</v>
      </c>
      <c r="E29" s="18">
        <v>11754</v>
      </c>
    </row>
    <row r="30" spans="1:5" ht="15.75" customHeight="1">
      <c r="A30" s="11">
        <v>19</v>
      </c>
      <c r="B30" s="21" t="s">
        <v>698</v>
      </c>
      <c r="C30" s="50" t="s">
        <v>309</v>
      </c>
      <c r="D30" s="23" t="s">
        <v>699</v>
      </c>
      <c r="E30" s="18">
        <v>34350.550000000003</v>
      </c>
    </row>
    <row r="31" spans="1:5" ht="15.75" customHeight="1">
      <c r="A31" s="11">
        <v>20</v>
      </c>
      <c r="B31" s="21" t="s">
        <v>700</v>
      </c>
      <c r="C31" s="13" t="s">
        <v>701</v>
      </c>
      <c r="D31" s="23" t="s">
        <v>702</v>
      </c>
      <c r="E31" s="18">
        <v>225600</v>
      </c>
    </row>
    <row r="32" spans="1:5" ht="15.75" customHeight="1">
      <c r="A32" s="8" t="s">
        <v>24</v>
      </c>
      <c r="B32" s="203"/>
      <c r="C32" s="204"/>
      <c r="D32" s="205"/>
      <c r="E32" s="49">
        <f>SUM(E12:E31)</f>
        <v>4175132.55</v>
      </c>
    </row>
    <row r="33" spans="1:5" ht="15.75" customHeight="1">
      <c r="A33" s="198"/>
      <c r="B33" s="196"/>
      <c r="C33" s="196"/>
      <c r="D33" s="196"/>
      <c r="E33" s="196"/>
    </row>
    <row r="34" spans="1:5" ht="15.75" customHeight="1">
      <c r="A34" s="198" t="s">
        <v>703</v>
      </c>
      <c r="B34" s="196"/>
      <c r="C34" s="196"/>
      <c r="D34" s="196"/>
      <c r="E34" s="27">
        <f>IF(E32&gt;=10000000,5000000*2%+5000000*1%+(E32-10000000)*0.5%,IF(E32&gt;=5000000,5000000*2%+(E32-5000000)*1%,E32*2%))</f>
        <v>83502.650999999998</v>
      </c>
    </row>
    <row r="35" spans="1:5" ht="14.25" customHeight="1">
      <c r="A35" s="198" t="s">
        <v>25</v>
      </c>
      <c r="B35" s="196"/>
      <c r="C35" s="196"/>
      <c r="D35" s="196"/>
      <c r="E35" s="196"/>
    </row>
    <row r="36" spans="1:5" ht="35.25" customHeight="1">
      <c r="A36" s="198"/>
      <c r="B36" s="196"/>
      <c r="C36" s="196"/>
      <c r="D36" s="196"/>
      <c r="E36" s="196"/>
    </row>
    <row r="37" spans="1:5" ht="15.75" customHeight="1">
      <c r="A37" s="198" t="s">
        <v>26</v>
      </c>
      <c r="B37" s="196"/>
      <c r="C37" s="196"/>
      <c r="D37" s="196"/>
      <c r="E37" s="196"/>
    </row>
    <row r="38" spans="1:5" ht="15.75" customHeight="1">
      <c r="A38" s="198" t="s">
        <v>27</v>
      </c>
      <c r="B38" s="196"/>
      <c r="C38" s="196"/>
      <c r="D38" s="196"/>
      <c r="E38" s="196"/>
    </row>
    <row r="39" spans="1:5" ht="15.75" customHeight="1">
      <c r="A39" s="198" t="s">
        <v>28</v>
      </c>
      <c r="B39" s="196"/>
      <c r="C39" s="196"/>
      <c r="D39" s="196"/>
      <c r="E39" s="196"/>
    </row>
  </sheetData>
  <mergeCells count="18">
    <mergeCell ref="A39:E39"/>
    <mergeCell ref="A8:E8"/>
    <mergeCell ref="A9:E9"/>
    <mergeCell ref="A10:E10"/>
    <mergeCell ref="B32:D32"/>
    <mergeCell ref="A33:E33"/>
    <mergeCell ref="A34:D34"/>
    <mergeCell ref="A35:E35"/>
    <mergeCell ref="A6:E6"/>
    <mergeCell ref="A7:E7"/>
    <mergeCell ref="A36:E36"/>
    <mergeCell ref="A37:E37"/>
    <mergeCell ref="A38:E38"/>
    <mergeCell ref="A1:E1"/>
    <mergeCell ref="A2:E2"/>
    <mergeCell ref="A3:E3"/>
    <mergeCell ref="A4:E4"/>
    <mergeCell ref="A5:E5"/>
  </mergeCells>
  <conditionalFormatting sqref="E12:E31">
    <cfRule type="notContainsBlanks" dxfId="81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A1:E30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663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9" t="s">
        <v>11</v>
      </c>
    </row>
    <row r="12" spans="1:5" ht="15.75" customHeight="1">
      <c r="A12" s="11">
        <v>1</v>
      </c>
      <c r="B12" s="12" t="s">
        <v>664</v>
      </c>
      <c r="C12" s="13" t="s">
        <v>665</v>
      </c>
      <c r="D12" s="15" t="s">
        <v>666</v>
      </c>
      <c r="E12" s="18">
        <v>44447.8</v>
      </c>
    </row>
    <row r="13" spans="1:5" ht="15.75" customHeight="1">
      <c r="A13" s="11">
        <v>2</v>
      </c>
      <c r="B13" s="12" t="s">
        <v>667</v>
      </c>
      <c r="C13" s="46" t="s">
        <v>668</v>
      </c>
      <c r="D13" s="15" t="s">
        <v>669</v>
      </c>
      <c r="E13" s="14">
        <v>100800</v>
      </c>
    </row>
    <row r="14" spans="1:5" ht="15.75" customHeight="1">
      <c r="A14" s="11">
        <v>4</v>
      </c>
      <c r="B14" s="12" t="s">
        <v>671</v>
      </c>
      <c r="C14" s="13" t="s">
        <v>672</v>
      </c>
      <c r="D14" s="15">
        <v>6962</v>
      </c>
      <c r="E14" s="14">
        <v>1617348.56</v>
      </c>
    </row>
    <row r="15" spans="1:5" ht="15.75" customHeight="1">
      <c r="A15" s="11">
        <v>6</v>
      </c>
      <c r="B15" s="12" t="s">
        <v>674</v>
      </c>
      <c r="C15" s="13" t="s">
        <v>675</v>
      </c>
      <c r="D15" s="15" t="s">
        <v>676</v>
      </c>
      <c r="E15" s="19">
        <v>107999</v>
      </c>
    </row>
    <row r="16" spans="1:5" ht="15.75" customHeight="1">
      <c r="A16" s="11">
        <v>8</v>
      </c>
      <c r="B16" s="17" t="s">
        <v>679</v>
      </c>
      <c r="C16" s="13" t="s">
        <v>218</v>
      </c>
      <c r="D16" s="15">
        <v>331</v>
      </c>
      <c r="E16" s="18">
        <v>210200</v>
      </c>
    </row>
    <row r="17" spans="1:5" ht="15.75" customHeight="1">
      <c r="A17" s="11">
        <v>9</v>
      </c>
      <c r="B17" s="17" t="s">
        <v>680</v>
      </c>
      <c r="C17" s="13" t="s">
        <v>56</v>
      </c>
      <c r="D17" s="15">
        <v>211</v>
      </c>
      <c r="E17" s="18">
        <v>23970</v>
      </c>
    </row>
    <row r="18" spans="1:5" ht="15.75" customHeight="1">
      <c r="A18" s="11">
        <v>10</v>
      </c>
      <c r="B18" s="74" t="s">
        <v>681</v>
      </c>
      <c r="C18" s="13" t="s">
        <v>672</v>
      </c>
      <c r="D18" s="22">
        <v>7008</v>
      </c>
      <c r="E18" s="18">
        <v>911200</v>
      </c>
    </row>
    <row r="19" spans="1:5" ht="15.75" customHeight="1">
      <c r="A19" s="11">
        <v>13</v>
      </c>
      <c r="B19" s="69" t="s">
        <v>686</v>
      </c>
      <c r="C19" s="46" t="s">
        <v>668</v>
      </c>
      <c r="D19" s="70" t="s">
        <v>687</v>
      </c>
      <c r="E19" s="48">
        <v>26000</v>
      </c>
    </row>
    <row r="20" spans="1:5" ht="15.75" customHeight="1">
      <c r="A20" s="11">
        <v>14</v>
      </c>
      <c r="B20" s="69" t="s">
        <v>688</v>
      </c>
      <c r="C20" s="46" t="s">
        <v>689</v>
      </c>
      <c r="D20" s="70">
        <v>412</v>
      </c>
      <c r="E20" s="71">
        <v>504000</v>
      </c>
    </row>
    <row r="21" spans="1:5" ht="15.75" customHeight="1">
      <c r="A21" s="11">
        <v>15</v>
      </c>
      <c r="B21" s="69" t="s">
        <v>690</v>
      </c>
      <c r="C21" s="46" t="s">
        <v>691</v>
      </c>
      <c r="D21" s="70">
        <v>78</v>
      </c>
      <c r="E21" s="48">
        <v>148320</v>
      </c>
    </row>
    <row r="22" spans="1:5" ht="15.75" customHeight="1">
      <c r="A22" s="11">
        <v>17</v>
      </c>
      <c r="B22" s="45" t="s">
        <v>694</v>
      </c>
      <c r="C22" s="46" t="s">
        <v>695</v>
      </c>
      <c r="D22" s="73">
        <v>24</v>
      </c>
      <c r="E22" s="48">
        <v>19800</v>
      </c>
    </row>
    <row r="23" spans="1:5" ht="15.75" customHeight="1">
      <c r="A23" s="8" t="s">
        <v>24</v>
      </c>
      <c r="B23" s="203"/>
      <c r="C23" s="204"/>
      <c r="D23" s="205"/>
      <c r="E23" s="49">
        <f>SUM(E12:E22)</f>
        <v>3714085.3600000003</v>
      </c>
    </row>
    <row r="24" spans="1:5" ht="15.75" customHeight="1">
      <c r="A24" s="198"/>
      <c r="B24" s="196"/>
      <c r="C24" s="196"/>
      <c r="D24" s="196"/>
      <c r="E24" s="196"/>
    </row>
    <row r="25" spans="1:5" ht="15.75" customHeight="1">
      <c r="A25" s="198" t="s">
        <v>703</v>
      </c>
      <c r="B25" s="196"/>
      <c r="C25" s="196"/>
      <c r="D25" s="196"/>
      <c r="E25" s="27">
        <f>E23*8%</f>
        <v>297126.82880000002</v>
      </c>
    </row>
    <row r="26" spans="1:5" ht="14.25" customHeight="1">
      <c r="A26" s="198" t="s">
        <v>25</v>
      </c>
      <c r="B26" s="196"/>
      <c r="C26" s="196"/>
      <c r="D26" s="196"/>
      <c r="E26" s="196"/>
    </row>
    <row r="27" spans="1:5" ht="35.25" customHeight="1">
      <c r="A27" s="198"/>
      <c r="B27" s="196"/>
      <c r="C27" s="196"/>
      <c r="D27" s="196"/>
      <c r="E27" s="196"/>
    </row>
    <row r="28" spans="1:5" ht="15.75" customHeight="1">
      <c r="A28" s="198" t="s">
        <v>26</v>
      </c>
      <c r="B28" s="196"/>
      <c r="C28" s="196"/>
      <c r="D28" s="196"/>
      <c r="E28" s="196"/>
    </row>
    <row r="29" spans="1:5" ht="15.75" customHeight="1">
      <c r="A29" s="198" t="s">
        <v>27</v>
      </c>
      <c r="B29" s="196"/>
      <c r="C29" s="196"/>
      <c r="D29" s="196"/>
      <c r="E29" s="196"/>
    </row>
    <row r="30" spans="1:5" ht="15.75" customHeight="1">
      <c r="A30" s="198" t="s">
        <v>28</v>
      </c>
      <c r="B30" s="196"/>
      <c r="C30" s="196"/>
      <c r="D30" s="196"/>
      <c r="E30" s="196"/>
    </row>
  </sheetData>
  <mergeCells count="18">
    <mergeCell ref="A30:E30"/>
    <mergeCell ref="A8:E8"/>
    <mergeCell ref="A9:E9"/>
    <mergeCell ref="A10:E10"/>
    <mergeCell ref="B23:D23"/>
    <mergeCell ref="A24:E24"/>
    <mergeCell ref="A25:D25"/>
    <mergeCell ref="A26:E26"/>
    <mergeCell ref="A6:E6"/>
    <mergeCell ref="A7:E7"/>
    <mergeCell ref="A27:E27"/>
    <mergeCell ref="A28:E28"/>
    <mergeCell ref="A29:E29"/>
    <mergeCell ref="A1:E1"/>
    <mergeCell ref="A2:E2"/>
    <mergeCell ref="A3:E3"/>
    <mergeCell ref="A4:E4"/>
    <mergeCell ref="A5:E5"/>
  </mergeCells>
  <conditionalFormatting sqref="E12:E22">
    <cfRule type="notContainsBlanks" dxfId="80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  <pageSetUpPr fitToPage="1"/>
  </sheetPr>
  <dimension ref="A1:E32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704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9" t="s">
        <v>11</v>
      </c>
    </row>
    <row r="12" spans="1:5" ht="15.75" customHeight="1">
      <c r="A12" s="11">
        <v>1</v>
      </c>
      <c r="B12" s="12" t="s">
        <v>705</v>
      </c>
      <c r="C12" s="13" t="s">
        <v>706</v>
      </c>
      <c r="D12" s="13" t="s">
        <v>707</v>
      </c>
      <c r="E12" s="18">
        <v>586660</v>
      </c>
    </row>
    <row r="13" spans="1:5" ht="15.75" customHeight="1">
      <c r="A13" s="11">
        <v>2</v>
      </c>
      <c r="B13" s="12" t="s">
        <v>708</v>
      </c>
      <c r="C13" s="13" t="s">
        <v>709</v>
      </c>
      <c r="D13" s="13">
        <v>1156</v>
      </c>
      <c r="E13" s="14">
        <v>2200601.9900000002</v>
      </c>
    </row>
    <row r="14" spans="1:5" ht="15.75" customHeight="1">
      <c r="A14" s="11">
        <v>3</v>
      </c>
      <c r="B14" s="69" t="s">
        <v>710</v>
      </c>
      <c r="C14" s="46" t="s">
        <v>711</v>
      </c>
      <c r="D14" s="46">
        <v>260</v>
      </c>
      <c r="E14" s="71">
        <v>745600</v>
      </c>
    </row>
    <row r="15" spans="1:5" ht="15.75" customHeight="1">
      <c r="A15" s="11">
        <v>4</v>
      </c>
      <c r="B15" s="12" t="s">
        <v>712</v>
      </c>
      <c r="C15" s="13" t="s">
        <v>260</v>
      </c>
      <c r="D15" s="13" t="s">
        <v>713</v>
      </c>
      <c r="E15" s="19">
        <v>8157.69</v>
      </c>
    </row>
    <row r="16" spans="1:5" ht="15.75" customHeight="1">
      <c r="A16" s="11">
        <v>5</v>
      </c>
      <c r="B16" s="12" t="s">
        <v>714</v>
      </c>
      <c r="C16" s="13" t="s">
        <v>715</v>
      </c>
      <c r="D16" s="13">
        <v>140</v>
      </c>
      <c r="E16" s="19">
        <v>3950</v>
      </c>
    </row>
    <row r="17" spans="1:5" ht="15.75" customHeight="1">
      <c r="A17" s="11">
        <v>6</v>
      </c>
      <c r="B17" s="17" t="s">
        <v>716</v>
      </c>
      <c r="C17" s="13" t="s">
        <v>717</v>
      </c>
      <c r="D17" s="13">
        <v>366</v>
      </c>
      <c r="E17" s="18">
        <v>125088</v>
      </c>
    </row>
    <row r="18" spans="1:5" ht="15.75" customHeight="1">
      <c r="A18" s="11">
        <v>7</v>
      </c>
      <c r="B18" s="17" t="s">
        <v>718</v>
      </c>
      <c r="C18" s="13" t="s">
        <v>629</v>
      </c>
      <c r="D18" s="13" t="s">
        <v>719</v>
      </c>
      <c r="E18" s="18">
        <v>47850</v>
      </c>
    </row>
    <row r="19" spans="1:5" ht="15.75" customHeight="1">
      <c r="A19" s="11">
        <v>8</v>
      </c>
      <c r="B19" s="74" t="s">
        <v>720</v>
      </c>
      <c r="C19" s="13" t="s">
        <v>472</v>
      </c>
      <c r="D19" s="75">
        <v>4562</v>
      </c>
      <c r="E19" s="18">
        <v>73400</v>
      </c>
    </row>
    <row r="20" spans="1:5" ht="15.75" customHeight="1">
      <c r="A20" s="11">
        <v>9</v>
      </c>
      <c r="B20" s="21" t="s">
        <v>721</v>
      </c>
      <c r="C20" s="13" t="s">
        <v>665</v>
      </c>
      <c r="D20" s="50" t="s">
        <v>722</v>
      </c>
      <c r="E20" s="18">
        <v>67600</v>
      </c>
    </row>
    <row r="21" spans="1:5" ht="15.75" customHeight="1">
      <c r="A21" s="11">
        <v>10</v>
      </c>
      <c r="B21" s="41" t="s">
        <v>723</v>
      </c>
      <c r="C21" s="13" t="s">
        <v>56</v>
      </c>
      <c r="D21" s="76">
        <v>307</v>
      </c>
      <c r="E21" s="14">
        <v>9717</v>
      </c>
    </row>
    <row r="22" spans="1:5" ht="15.75" customHeight="1">
      <c r="A22" s="11">
        <v>11</v>
      </c>
      <c r="B22" s="69" t="s">
        <v>724</v>
      </c>
      <c r="C22" s="46" t="s">
        <v>93</v>
      </c>
      <c r="D22" s="46" t="s">
        <v>725</v>
      </c>
      <c r="E22" s="48">
        <v>61407</v>
      </c>
    </row>
    <row r="23" spans="1:5" ht="15.75" customHeight="1">
      <c r="A23" s="11">
        <v>12</v>
      </c>
      <c r="B23" s="74" t="s">
        <v>720</v>
      </c>
      <c r="C23" s="13" t="s">
        <v>472</v>
      </c>
      <c r="D23" s="75">
        <v>5033</v>
      </c>
      <c r="E23" s="18">
        <v>8200</v>
      </c>
    </row>
    <row r="24" spans="1:5" ht="15.75" customHeight="1">
      <c r="A24" s="11">
        <v>13</v>
      </c>
      <c r="B24" s="74" t="s">
        <v>726</v>
      </c>
      <c r="C24" s="13" t="s">
        <v>218</v>
      </c>
      <c r="D24" s="75">
        <v>301</v>
      </c>
      <c r="E24" s="18">
        <v>348000</v>
      </c>
    </row>
    <row r="25" spans="1:5" ht="15.75" customHeight="1">
      <c r="A25" s="8" t="s">
        <v>24</v>
      </c>
      <c r="B25" s="203"/>
      <c r="C25" s="204"/>
      <c r="D25" s="205"/>
      <c r="E25" s="49">
        <f>SUM(E12:E24)</f>
        <v>4286231.68</v>
      </c>
    </row>
    <row r="26" spans="1:5" ht="15.75" customHeight="1">
      <c r="A26" s="198"/>
      <c r="B26" s="196"/>
      <c r="C26" s="196"/>
      <c r="D26" s="196"/>
      <c r="E26" s="196"/>
    </row>
    <row r="27" spans="1:5" ht="15.75" customHeight="1">
      <c r="A27" s="198" t="s">
        <v>727</v>
      </c>
      <c r="B27" s="196"/>
      <c r="C27" s="196"/>
      <c r="D27" s="196"/>
      <c r="E27" s="27">
        <f>IF(E25&gt;=10000000,5000000*2%+5000000*1%+(E25-10000000)*0.5%,IF(E25&gt;=5000000,5000000*2%+(E25-5000000)*1%,E25*2%))</f>
        <v>85724.633600000001</v>
      </c>
    </row>
    <row r="28" spans="1:5" ht="14.25" customHeight="1">
      <c r="A28" s="198" t="s">
        <v>25</v>
      </c>
      <c r="B28" s="196"/>
      <c r="C28" s="196"/>
      <c r="D28" s="196"/>
      <c r="E28" s="196"/>
    </row>
    <row r="29" spans="1:5" ht="35.25" customHeight="1">
      <c r="A29" s="198"/>
      <c r="B29" s="196"/>
      <c r="C29" s="196"/>
      <c r="D29" s="196"/>
      <c r="E29" s="196"/>
    </row>
    <row r="30" spans="1:5" ht="15.75" customHeight="1">
      <c r="A30" s="198" t="s">
        <v>26</v>
      </c>
      <c r="B30" s="196"/>
      <c r="C30" s="196"/>
      <c r="D30" s="196"/>
      <c r="E30" s="196"/>
    </row>
    <row r="31" spans="1:5" ht="15.75" customHeight="1">
      <c r="A31" s="198" t="s">
        <v>27</v>
      </c>
      <c r="B31" s="196"/>
      <c r="C31" s="196"/>
      <c r="D31" s="196"/>
      <c r="E31" s="196"/>
    </row>
    <row r="32" spans="1:5" ht="15.75" customHeight="1">
      <c r="A32" s="198" t="s">
        <v>28</v>
      </c>
      <c r="B32" s="196"/>
      <c r="C32" s="196"/>
      <c r="D32" s="196"/>
      <c r="E32" s="196"/>
    </row>
  </sheetData>
  <mergeCells count="18">
    <mergeCell ref="A32:E32"/>
    <mergeCell ref="A8:E8"/>
    <mergeCell ref="A9:E9"/>
    <mergeCell ref="A10:E10"/>
    <mergeCell ref="B25:D25"/>
    <mergeCell ref="A26:E26"/>
    <mergeCell ref="A27:D27"/>
    <mergeCell ref="A28:E28"/>
    <mergeCell ref="A6:E6"/>
    <mergeCell ref="A7:E7"/>
    <mergeCell ref="A29:E29"/>
    <mergeCell ref="A30:E30"/>
    <mergeCell ref="A31:E31"/>
    <mergeCell ref="A1:E1"/>
    <mergeCell ref="A2:E2"/>
    <mergeCell ref="A3:E3"/>
    <mergeCell ref="A4:E4"/>
    <mergeCell ref="A5:E5"/>
  </mergeCells>
  <conditionalFormatting sqref="E12:E24">
    <cfRule type="notContainsBlanks" dxfId="79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E28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704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9" t="s">
        <v>11</v>
      </c>
    </row>
    <row r="12" spans="1:5" ht="15.75" customHeight="1">
      <c r="A12" s="11">
        <v>1</v>
      </c>
      <c r="B12" s="12" t="s">
        <v>705</v>
      </c>
      <c r="C12" s="13" t="s">
        <v>706</v>
      </c>
      <c r="D12" s="13" t="s">
        <v>707</v>
      </c>
      <c r="E12" s="18">
        <v>579007.6</v>
      </c>
    </row>
    <row r="13" spans="1:5" ht="15.75" customHeight="1">
      <c r="A13" s="11">
        <v>2</v>
      </c>
      <c r="B13" s="12" t="s">
        <v>708</v>
      </c>
      <c r="C13" s="13" t="s">
        <v>709</v>
      </c>
      <c r="D13" s="13">
        <v>1156</v>
      </c>
      <c r="E13" s="14">
        <v>2200601.9900000002</v>
      </c>
    </row>
    <row r="14" spans="1:5" ht="15.75" customHeight="1">
      <c r="A14" s="11">
        <v>3</v>
      </c>
      <c r="B14" s="69" t="s">
        <v>710</v>
      </c>
      <c r="C14" s="46" t="s">
        <v>711</v>
      </c>
      <c r="D14" s="46">
        <v>260</v>
      </c>
      <c r="E14" s="71">
        <v>745600</v>
      </c>
    </row>
    <row r="15" spans="1:5" ht="15.75" customHeight="1">
      <c r="A15" s="11">
        <v>4</v>
      </c>
      <c r="B15" s="12" t="s">
        <v>712</v>
      </c>
      <c r="C15" s="13" t="s">
        <v>260</v>
      </c>
      <c r="D15" s="13" t="s">
        <v>713</v>
      </c>
      <c r="E15" s="19">
        <v>8157.69</v>
      </c>
    </row>
    <row r="16" spans="1:5" ht="15.75" customHeight="1">
      <c r="A16" s="11">
        <v>5</v>
      </c>
      <c r="B16" s="74" t="s">
        <v>720</v>
      </c>
      <c r="C16" s="13" t="s">
        <v>472</v>
      </c>
      <c r="D16" s="75">
        <v>4562</v>
      </c>
      <c r="E16" s="18">
        <v>73400</v>
      </c>
    </row>
    <row r="17" spans="1:5" ht="15.75" customHeight="1">
      <c r="A17" s="11">
        <v>6</v>
      </c>
      <c r="B17" s="21" t="s">
        <v>721</v>
      </c>
      <c r="C17" s="13" t="s">
        <v>665</v>
      </c>
      <c r="D17" s="50" t="s">
        <v>722</v>
      </c>
      <c r="E17" s="18">
        <v>67600</v>
      </c>
    </row>
    <row r="18" spans="1:5" ht="15.75" customHeight="1">
      <c r="A18" s="11">
        <v>7</v>
      </c>
      <c r="B18" s="41" t="s">
        <v>723</v>
      </c>
      <c r="C18" s="13" t="s">
        <v>56</v>
      </c>
      <c r="D18" s="76">
        <v>307</v>
      </c>
      <c r="E18" s="14">
        <v>9717</v>
      </c>
    </row>
    <row r="19" spans="1:5" ht="15.75" customHeight="1">
      <c r="A19" s="11">
        <v>8</v>
      </c>
      <c r="B19" s="69" t="s">
        <v>724</v>
      </c>
      <c r="C19" s="46" t="s">
        <v>93</v>
      </c>
      <c r="D19" s="46" t="s">
        <v>725</v>
      </c>
      <c r="E19" s="48">
        <v>61407</v>
      </c>
    </row>
    <row r="20" spans="1:5" ht="15.75" customHeight="1">
      <c r="A20" s="11">
        <v>9</v>
      </c>
      <c r="B20" s="74" t="s">
        <v>720</v>
      </c>
      <c r="C20" s="13" t="s">
        <v>472</v>
      </c>
      <c r="D20" s="75">
        <v>5033</v>
      </c>
      <c r="E20" s="18">
        <v>8200</v>
      </c>
    </row>
    <row r="21" spans="1:5" ht="15.75" customHeight="1">
      <c r="A21" s="8" t="s">
        <v>24</v>
      </c>
      <c r="B21" s="203"/>
      <c r="C21" s="204"/>
      <c r="D21" s="205"/>
      <c r="E21" s="49">
        <f>SUM(E12:E20)</f>
        <v>3753691.2800000003</v>
      </c>
    </row>
    <row r="22" spans="1:5" ht="15.75" customHeight="1">
      <c r="A22" s="198"/>
      <c r="B22" s="196"/>
      <c r="C22" s="196"/>
      <c r="D22" s="196"/>
      <c r="E22" s="196"/>
    </row>
    <row r="23" spans="1:5" ht="15.75" customHeight="1">
      <c r="A23" s="198" t="s">
        <v>727</v>
      </c>
      <c r="B23" s="196"/>
      <c r="C23" s="196"/>
      <c r="D23" s="196"/>
      <c r="E23" s="27">
        <f>E21*8%</f>
        <v>300295.30240000004</v>
      </c>
    </row>
    <row r="24" spans="1:5" ht="14.25" customHeight="1">
      <c r="A24" s="198" t="s">
        <v>25</v>
      </c>
      <c r="B24" s="196"/>
      <c r="C24" s="196"/>
      <c r="D24" s="196"/>
      <c r="E24" s="196"/>
    </row>
    <row r="25" spans="1:5" ht="35.25" customHeight="1">
      <c r="A25" s="198"/>
      <c r="B25" s="196"/>
      <c r="C25" s="196"/>
      <c r="D25" s="196"/>
      <c r="E25" s="196"/>
    </row>
    <row r="26" spans="1:5" ht="15.75" customHeight="1">
      <c r="A26" s="198" t="s">
        <v>26</v>
      </c>
      <c r="B26" s="196"/>
      <c r="C26" s="196"/>
      <c r="D26" s="196"/>
      <c r="E26" s="196"/>
    </row>
    <row r="27" spans="1:5" ht="15.75" customHeight="1">
      <c r="A27" s="198" t="s">
        <v>27</v>
      </c>
      <c r="B27" s="196"/>
      <c r="C27" s="196"/>
      <c r="D27" s="196"/>
      <c r="E27" s="196"/>
    </row>
    <row r="28" spans="1:5" ht="15.75" customHeight="1">
      <c r="A28" s="198" t="s">
        <v>28</v>
      </c>
      <c r="B28" s="196"/>
      <c r="C28" s="196"/>
      <c r="D28" s="196"/>
      <c r="E28" s="196"/>
    </row>
  </sheetData>
  <mergeCells count="18">
    <mergeCell ref="A28:E28"/>
    <mergeCell ref="A8:E8"/>
    <mergeCell ref="A9:E9"/>
    <mergeCell ref="A10:E10"/>
    <mergeCell ref="B21:D21"/>
    <mergeCell ref="A22:E22"/>
    <mergeCell ref="A23:D23"/>
    <mergeCell ref="A24:E24"/>
    <mergeCell ref="A6:E6"/>
    <mergeCell ref="A7:E7"/>
    <mergeCell ref="A25:E25"/>
    <mergeCell ref="A26:E26"/>
    <mergeCell ref="A27:E27"/>
    <mergeCell ref="A1:E1"/>
    <mergeCell ref="A2:E2"/>
    <mergeCell ref="A3:E3"/>
    <mergeCell ref="A4:E4"/>
    <mergeCell ref="A5:E5"/>
  </mergeCells>
  <conditionalFormatting sqref="E12:E20">
    <cfRule type="notContainsBlanks" dxfId="78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E40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728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">
        <v>1</v>
      </c>
      <c r="B12" s="12" t="s">
        <v>729</v>
      </c>
      <c r="C12" s="13" t="s">
        <v>730</v>
      </c>
      <c r="D12" s="13">
        <v>469</v>
      </c>
      <c r="E12" s="18">
        <v>1950</v>
      </c>
    </row>
    <row r="13" spans="1:5" ht="15.75" customHeight="1">
      <c r="A13" s="11">
        <v>2</v>
      </c>
      <c r="B13" s="37" t="s">
        <v>167</v>
      </c>
      <c r="C13" s="13" t="s">
        <v>168</v>
      </c>
      <c r="D13" s="75">
        <v>106</v>
      </c>
      <c r="E13" s="18">
        <v>176000</v>
      </c>
    </row>
    <row r="14" spans="1:5" ht="15.75" customHeight="1">
      <c r="A14" s="11">
        <v>3</v>
      </c>
      <c r="B14" s="17" t="s">
        <v>731</v>
      </c>
      <c r="C14" s="13" t="s">
        <v>732</v>
      </c>
      <c r="D14" s="13">
        <v>14038</v>
      </c>
      <c r="E14" s="18">
        <v>206689.19</v>
      </c>
    </row>
    <row r="15" spans="1:5" ht="15.75" customHeight="1">
      <c r="A15" s="11">
        <v>4</v>
      </c>
      <c r="B15" s="69" t="s">
        <v>733</v>
      </c>
      <c r="C15" s="46" t="s">
        <v>209</v>
      </c>
      <c r="D15" s="46">
        <v>1534</v>
      </c>
      <c r="E15" s="71">
        <v>254340</v>
      </c>
    </row>
    <row r="16" spans="1:5" ht="15.75" customHeight="1">
      <c r="A16" s="11">
        <v>5</v>
      </c>
      <c r="B16" s="12" t="s">
        <v>734</v>
      </c>
      <c r="C16" s="13" t="s">
        <v>735</v>
      </c>
      <c r="D16" s="13">
        <v>100</v>
      </c>
      <c r="E16" s="14">
        <v>558880</v>
      </c>
    </row>
    <row r="17" spans="1:5" ht="15.75" customHeight="1">
      <c r="A17" s="11">
        <v>6</v>
      </c>
      <c r="B17" s="12" t="s">
        <v>736</v>
      </c>
      <c r="C17" s="13" t="s">
        <v>737</v>
      </c>
      <c r="D17" s="13">
        <v>122</v>
      </c>
      <c r="E17" s="19">
        <v>1935900.95</v>
      </c>
    </row>
    <row r="18" spans="1:5" ht="15.75" customHeight="1">
      <c r="A18" s="11">
        <v>7</v>
      </c>
      <c r="B18" s="12" t="s">
        <v>738</v>
      </c>
      <c r="C18" s="13" t="s">
        <v>739</v>
      </c>
      <c r="D18" s="13">
        <v>49</v>
      </c>
      <c r="E18" s="19">
        <v>1101132</v>
      </c>
    </row>
    <row r="19" spans="1:5" ht="15.75" customHeight="1">
      <c r="A19" s="11">
        <v>8</v>
      </c>
      <c r="B19" s="17" t="s">
        <v>740</v>
      </c>
      <c r="C19" s="13" t="s">
        <v>741</v>
      </c>
      <c r="D19" s="13">
        <v>5834</v>
      </c>
      <c r="E19" s="18">
        <v>7000</v>
      </c>
    </row>
    <row r="20" spans="1:5" ht="15.75" customHeight="1">
      <c r="A20" s="11">
        <v>9</v>
      </c>
      <c r="B20" s="24" t="s">
        <v>742</v>
      </c>
      <c r="C20" s="78" t="s">
        <v>654</v>
      </c>
      <c r="D20" s="78">
        <v>704</v>
      </c>
      <c r="E20" s="79">
        <v>2390</v>
      </c>
    </row>
    <row r="21" spans="1:5" ht="15.75" customHeight="1">
      <c r="A21" s="11">
        <v>10</v>
      </c>
      <c r="B21" s="12" t="s">
        <v>743</v>
      </c>
      <c r="C21" s="13" t="s">
        <v>81</v>
      </c>
      <c r="D21" s="75" t="s">
        <v>744</v>
      </c>
      <c r="E21" s="18">
        <v>204720</v>
      </c>
    </row>
    <row r="22" spans="1:5" ht="15.75" customHeight="1">
      <c r="A22" s="11">
        <v>11</v>
      </c>
      <c r="B22" s="12" t="s">
        <v>745</v>
      </c>
      <c r="C22" s="13" t="s">
        <v>81</v>
      </c>
      <c r="D22" s="13" t="s">
        <v>746</v>
      </c>
      <c r="E22" s="14">
        <v>200652</v>
      </c>
    </row>
    <row r="23" spans="1:5" ht="15.75" customHeight="1">
      <c r="A23" s="11">
        <v>12</v>
      </c>
      <c r="B23" s="80" t="s">
        <v>747</v>
      </c>
      <c r="C23" s="78" t="s">
        <v>665</v>
      </c>
      <c r="D23" s="78" t="s">
        <v>748</v>
      </c>
      <c r="E23" s="14">
        <v>16000</v>
      </c>
    </row>
    <row r="24" spans="1:5" ht="15.75" customHeight="1">
      <c r="A24" s="11">
        <v>13</v>
      </c>
      <c r="B24" s="12" t="s">
        <v>749</v>
      </c>
      <c r="C24" s="13" t="s">
        <v>20</v>
      </c>
      <c r="D24" s="13" t="s">
        <v>750</v>
      </c>
      <c r="E24" s="14">
        <v>3024</v>
      </c>
    </row>
    <row r="25" spans="1:5" ht="15.75" customHeight="1">
      <c r="A25" s="11">
        <v>14</v>
      </c>
      <c r="B25" s="12" t="s">
        <v>751</v>
      </c>
      <c r="C25" s="13" t="s">
        <v>20</v>
      </c>
      <c r="D25" s="13" t="s">
        <v>752</v>
      </c>
      <c r="E25" s="19">
        <v>23292</v>
      </c>
    </row>
    <row r="26" spans="1:5" ht="15.75" customHeight="1">
      <c r="A26" s="11">
        <v>15</v>
      </c>
      <c r="B26" s="12" t="s">
        <v>753</v>
      </c>
      <c r="C26" s="13" t="s">
        <v>741</v>
      </c>
      <c r="D26" s="13">
        <v>6205</v>
      </c>
      <c r="E26" s="14">
        <v>6500</v>
      </c>
    </row>
    <row r="27" spans="1:5" ht="15.75" customHeight="1">
      <c r="A27" s="11">
        <v>16</v>
      </c>
      <c r="B27" s="41" t="s">
        <v>754</v>
      </c>
      <c r="C27" s="50" t="s">
        <v>755</v>
      </c>
      <c r="D27" s="50">
        <v>7916</v>
      </c>
      <c r="E27" s="14">
        <v>435653.5</v>
      </c>
    </row>
    <row r="28" spans="1:5" ht="15.75" customHeight="1">
      <c r="A28" s="11">
        <v>17</v>
      </c>
      <c r="B28" s="41" t="s">
        <v>756</v>
      </c>
      <c r="C28" s="13" t="s">
        <v>757</v>
      </c>
      <c r="D28" s="50" t="s">
        <v>758</v>
      </c>
      <c r="E28" s="14">
        <v>43739.21</v>
      </c>
    </row>
    <row r="29" spans="1:5" ht="15.75" customHeight="1">
      <c r="A29" s="11">
        <v>18</v>
      </c>
      <c r="B29" s="12" t="s">
        <v>759</v>
      </c>
      <c r="C29" s="13" t="s">
        <v>760</v>
      </c>
      <c r="D29" s="13">
        <v>1541</v>
      </c>
      <c r="E29" s="14">
        <v>111600</v>
      </c>
    </row>
    <row r="30" spans="1:5" ht="15.75" customHeight="1">
      <c r="A30" s="11">
        <v>19</v>
      </c>
      <c r="B30" s="45" t="s">
        <v>761</v>
      </c>
      <c r="C30" s="72" t="s">
        <v>762</v>
      </c>
      <c r="D30" s="72">
        <v>7017</v>
      </c>
      <c r="E30" s="48">
        <v>1102954.69</v>
      </c>
    </row>
    <row r="31" spans="1:5" ht="15.75" customHeight="1">
      <c r="A31" s="11">
        <v>20</v>
      </c>
      <c r="B31" s="69" t="s">
        <v>763</v>
      </c>
      <c r="C31" s="42" t="s">
        <v>56</v>
      </c>
      <c r="D31" s="46">
        <v>322</v>
      </c>
      <c r="E31" s="48">
        <v>32441</v>
      </c>
    </row>
    <row r="32" spans="1:5" ht="15.75" customHeight="1">
      <c r="A32" s="11">
        <v>21</v>
      </c>
      <c r="B32" s="69" t="s">
        <v>764</v>
      </c>
      <c r="C32" s="81" t="s">
        <v>765</v>
      </c>
      <c r="D32" s="46">
        <v>790</v>
      </c>
      <c r="E32" s="71">
        <v>88340</v>
      </c>
    </row>
    <row r="33" spans="1:5" ht="15.75" customHeight="1">
      <c r="A33" s="8" t="s">
        <v>24</v>
      </c>
      <c r="B33" s="203"/>
      <c r="C33" s="204"/>
      <c r="D33" s="205"/>
      <c r="E33" s="49">
        <f>SUM(E12:E32)</f>
        <v>6513198.5399999991</v>
      </c>
    </row>
    <row r="34" spans="1:5" ht="15.75" customHeight="1">
      <c r="A34" s="198"/>
      <c r="B34" s="196"/>
      <c r="C34" s="196"/>
      <c r="D34" s="196"/>
      <c r="E34" s="196"/>
    </row>
    <row r="35" spans="1:5" ht="15.75" customHeight="1">
      <c r="A35" s="198" t="s">
        <v>766</v>
      </c>
      <c r="B35" s="196"/>
      <c r="C35" s="196"/>
      <c r="D35" s="196"/>
      <c r="E35" s="27">
        <f>IF(E33&gt;=10000000,5000000*2%+5000000*1%+(E33-10000000)*0.5%,IF(E33&gt;=5000000,5000000*2%+(E33-5000000)*1%,E33*2%))</f>
        <v>115131.98539999999</v>
      </c>
    </row>
    <row r="36" spans="1:5" ht="14.25" customHeight="1">
      <c r="A36" s="198" t="s">
        <v>25</v>
      </c>
      <c r="B36" s="196"/>
      <c r="C36" s="196"/>
      <c r="D36" s="196"/>
      <c r="E36" s="196"/>
    </row>
    <row r="37" spans="1:5" ht="35.25" customHeight="1">
      <c r="A37" s="198"/>
      <c r="B37" s="196"/>
      <c r="C37" s="196"/>
      <c r="D37" s="196"/>
      <c r="E37" s="196"/>
    </row>
    <row r="38" spans="1:5" ht="15.75" customHeight="1">
      <c r="A38" s="198" t="s">
        <v>26</v>
      </c>
      <c r="B38" s="196"/>
      <c r="C38" s="196"/>
      <c r="D38" s="196"/>
      <c r="E38" s="196"/>
    </row>
    <row r="39" spans="1:5" ht="15.75" customHeight="1">
      <c r="A39" s="198" t="s">
        <v>27</v>
      </c>
      <c r="B39" s="196"/>
      <c r="C39" s="196"/>
      <c r="D39" s="196"/>
      <c r="E39" s="196"/>
    </row>
    <row r="40" spans="1:5" ht="15.75" customHeight="1">
      <c r="A40" s="198" t="s">
        <v>28</v>
      </c>
      <c r="B40" s="196"/>
      <c r="C40" s="196"/>
      <c r="D40" s="196"/>
      <c r="E40" s="196"/>
    </row>
  </sheetData>
  <mergeCells count="18">
    <mergeCell ref="A40:E40"/>
    <mergeCell ref="A8:E8"/>
    <mergeCell ref="A9:E9"/>
    <mergeCell ref="A10:E10"/>
    <mergeCell ref="B33:D33"/>
    <mergeCell ref="A34:E34"/>
    <mergeCell ref="A35:D35"/>
    <mergeCell ref="A36:E36"/>
    <mergeCell ref="A6:E6"/>
    <mergeCell ref="A7:E7"/>
    <mergeCell ref="A37:E37"/>
    <mergeCell ref="A38:E38"/>
    <mergeCell ref="A39:E39"/>
    <mergeCell ref="A1:E1"/>
    <mergeCell ref="A2:E2"/>
    <mergeCell ref="A3:E3"/>
    <mergeCell ref="A4:E4"/>
    <mergeCell ref="A5:E5"/>
  </mergeCells>
  <conditionalFormatting sqref="E12:E32">
    <cfRule type="notContainsBlanks" dxfId="77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E41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767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">
        <v>1</v>
      </c>
      <c r="B12" s="56" t="s">
        <v>768</v>
      </c>
      <c r="C12" s="57" t="s">
        <v>769</v>
      </c>
      <c r="D12" s="57">
        <v>781</v>
      </c>
      <c r="E12" s="59">
        <v>340050</v>
      </c>
    </row>
    <row r="13" spans="1:5" ht="15.75" customHeight="1">
      <c r="A13" s="11">
        <v>2</v>
      </c>
      <c r="B13" s="61" t="s">
        <v>770</v>
      </c>
      <c r="C13" s="82" t="s">
        <v>147</v>
      </c>
      <c r="D13" s="83" t="s">
        <v>771</v>
      </c>
      <c r="E13" s="59">
        <v>146568</v>
      </c>
    </row>
    <row r="14" spans="1:5" ht="15.75" customHeight="1">
      <c r="A14" s="11">
        <v>3</v>
      </c>
      <c r="B14" s="56" t="s">
        <v>772</v>
      </c>
      <c r="C14" s="84" t="s">
        <v>472</v>
      </c>
      <c r="D14" s="85">
        <v>7162</v>
      </c>
      <c r="E14" s="59">
        <v>7000</v>
      </c>
    </row>
    <row r="15" spans="1:5" ht="15.75" customHeight="1">
      <c r="A15" s="11">
        <v>4</v>
      </c>
      <c r="B15" s="86" t="s">
        <v>773</v>
      </c>
      <c r="C15" s="84" t="s">
        <v>81</v>
      </c>
      <c r="D15" s="82" t="s">
        <v>774</v>
      </c>
      <c r="E15" s="87">
        <v>17550</v>
      </c>
    </row>
    <row r="16" spans="1:5" ht="15.75" customHeight="1">
      <c r="A16" s="11">
        <v>5</v>
      </c>
      <c r="B16" s="86" t="s">
        <v>775</v>
      </c>
      <c r="C16" s="85" t="s">
        <v>313</v>
      </c>
      <c r="D16" s="85" t="s">
        <v>776</v>
      </c>
      <c r="E16" s="59">
        <v>85580</v>
      </c>
    </row>
    <row r="17" spans="1:5" ht="15.75" customHeight="1">
      <c r="A17" s="11">
        <v>6</v>
      </c>
      <c r="B17" s="88" t="s">
        <v>777</v>
      </c>
      <c r="C17" s="82" t="s">
        <v>16</v>
      </c>
      <c r="D17" s="82">
        <v>381</v>
      </c>
      <c r="E17" s="59">
        <v>28120</v>
      </c>
    </row>
    <row r="18" spans="1:5" ht="15.75" customHeight="1">
      <c r="A18" s="11">
        <v>7</v>
      </c>
      <c r="B18" s="86" t="s">
        <v>778</v>
      </c>
      <c r="C18" s="82" t="s">
        <v>309</v>
      </c>
      <c r="D18" s="82" t="s">
        <v>779</v>
      </c>
      <c r="E18" s="59">
        <v>33655.5</v>
      </c>
    </row>
    <row r="19" spans="1:5" ht="15.75" customHeight="1">
      <c r="A19" s="11">
        <v>8</v>
      </c>
      <c r="B19" s="86" t="s">
        <v>780</v>
      </c>
      <c r="C19" s="82" t="s">
        <v>781</v>
      </c>
      <c r="D19" s="82">
        <v>15696</v>
      </c>
      <c r="E19" s="59">
        <v>316581.45</v>
      </c>
    </row>
    <row r="20" spans="1:5" ht="15.75" customHeight="1">
      <c r="A20" s="11">
        <v>9</v>
      </c>
      <c r="B20" s="86" t="s">
        <v>782</v>
      </c>
      <c r="C20" s="82" t="s">
        <v>783</v>
      </c>
      <c r="D20" s="82" t="s">
        <v>276</v>
      </c>
      <c r="E20" s="59">
        <v>16980</v>
      </c>
    </row>
    <row r="21" spans="1:5" ht="15.75" customHeight="1">
      <c r="A21" s="11">
        <v>10</v>
      </c>
      <c r="B21" s="86" t="s">
        <v>784</v>
      </c>
      <c r="C21" s="82" t="s">
        <v>638</v>
      </c>
      <c r="D21" s="83" t="s">
        <v>785</v>
      </c>
      <c r="E21" s="59">
        <v>89750</v>
      </c>
    </row>
    <row r="22" spans="1:5" ht="15.75" customHeight="1">
      <c r="A22" s="11">
        <v>11</v>
      </c>
      <c r="B22" s="86" t="s">
        <v>786</v>
      </c>
      <c r="C22" s="82" t="s">
        <v>267</v>
      </c>
      <c r="D22" s="82">
        <v>470</v>
      </c>
      <c r="E22" s="59">
        <v>16725</v>
      </c>
    </row>
    <row r="23" spans="1:5" ht="15.75" customHeight="1">
      <c r="A23" s="11">
        <v>12</v>
      </c>
      <c r="B23" s="88" t="s">
        <v>787</v>
      </c>
      <c r="C23" s="82" t="s">
        <v>638</v>
      </c>
      <c r="D23" s="82" t="s">
        <v>788</v>
      </c>
      <c r="E23" s="59">
        <v>5500</v>
      </c>
    </row>
    <row r="24" spans="1:5" ht="15.75" customHeight="1">
      <c r="A24" s="11">
        <v>13</v>
      </c>
      <c r="B24" s="86" t="s">
        <v>789</v>
      </c>
      <c r="C24" s="82" t="s">
        <v>329</v>
      </c>
      <c r="D24" s="82" t="s">
        <v>790</v>
      </c>
      <c r="E24" s="59">
        <v>8021.7</v>
      </c>
    </row>
    <row r="25" spans="1:5" ht="15.75" customHeight="1">
      <c r="A25" s="11">
        <v>14</v>
      </c>
      <c r="B25" s="86" t="s">
        <v>791</v>
      </c>
      <c r="C25" s="82" t="s">
        <v>792</v>
      </c>
      <c r="D25" s="82">
        <v>994</v>
      </c>
      <c r="E25" s="59">
        <v>4500000</v>
      </c>
    </row>
    <row r="26" spans="1:5" ht="15.75" customHeight="1">
      <c r="A26" s="11">
        <v>15</v>
      </c>
      <c r="B26" s="86" t="s">
        <v>793</v>
      </c>
      <c r="C26" s="82" t="s">
        <v>56</v>
      </c>
      <c r="D26" s="82">
        <v>454</v>
      </c>
      <c r="E26" s="59">
        <v>150097</v>
      </c>
    </row>
    <row r="27" spans="1:5" ht="15.75" customHeight="1">
      <c r="A27" s="11">
        <v>16</v>
      </c>
      <c r="B27" s="86" t="s">
        <v>794</v>
      </c>
      <c r="C27" s="85" t="s">
        <v>795</v>
      </c>
      <c r="D27" s="85" t="s">
        <v>796</v>
      </c>
      <c r="E27" s="59">
        <v>12450</v>
      </c>
    </row>
    <row r="28" spans="1:5" ht="15.75" customHeight="1">
      <c r="A28" s="11">
        <v>17</v>
      </c>
      <c r="B28" s="86" t="s">
        <v>797</v>
      </c>
      <c r="C28" s="82" t="s">
        <v>798</v>
      </c>
      <c r="D28" s="85" t="s">
        <v>799</v>
      </c>
      <c r="E28" s="59">
        <v>48000</v>
      </c>
    </row>
    <row r="29" spans="1:5" ht="15.75" customHeight="1">
      <c r="A29" s="11">
        <v>18</v>
      </c>
      <c r="B29" s="86" t="s">
        <v>800</v>
      </c>
      <c r="C29" s="82" t="s">
        <v>801</v>
      </c>
      <c r="D29" s="82">
        <v>3254</v>
      </c>
      <c r="E29" s="59">
        <v>169717</v>
      </c>
    </row>
    <row r="30" spans="1:5" ht="15.75" customHeight="1">
      <c r="A30" s="11">
        <v>19</v>
      </c>
      <c r="B30" s="86" t="s">
        <v>802</v>
      </c>
      <c r="C30" s="85" t="s">
        <v>803</v>
      </c>
      <c r="D30" s="85">
        <v>55</v>
      </c>
      <c r="E30" s="59">
        <v>95400</v>
      </c>
    </row>
    <row r="31" spans="1:5" ht="15.75" customHeight="1">
      <c r="A31" s="11">
        <v>20</v>
      </c>
      <c r="B31" s="86" t="s">
        <v>804</v>
      </c>
      <c r="C31" s="82" t="s">
        <v>805</v>
      </c>
      <c r="D31" s="85">
        <v>529</v>
      </c>
      <c r="E31" s="59">
        <v>16500</v>
      </c>
    </row>
    <row r="32" spans="1:5" ht="15.75" customHeight="1">
      <c r="A32" s="11">
        <v>21</v>
      </c>
      <c r="B32" s="86" t="s">
        <v>806</v>
      </c>
      <c r="C32" s="89" t="s">
        <v>147</v>
      </c>
      <c r="D32" s="85" t="s">
        <v>807</v>
      </c>
      <c r="E32" s="59">
        <v>175427.76</v>
      </c>
    </row>
    <row r="33" spans="1:5" ht="15.75" customHeight="1">
      <c r="A33" s="11">
        <v>22</v>
      </c>
      <c r="B33" s="86" t="s">
        <v>808</v>
      </c>
      <c r="C33" s="90" t="s">
        <v>81</v>
      </c>
      <c r="D33" s="85" t="s">
        <v>809</v>
      </c>
      <c r="E33" s="59">
        <v>202495</v>
      </c>
    </row>
    <row r="34" spans="1:5" ht="15.75" customHeight="1">
      <c r="A34" s="8" t="s">
        <v>24</v>
      </c>
      <c r="B34" s="203"/>
      <c r="C34" s="204"/>
      <c r="D34" s="205"/>
      <c r="E34" s="49">
        <f>SUM(E12:E33)</f>
        <v>6482168.4100000001</v>
      </c>
    </row>
    <row r="35" spans="1:5" ht="15.75" customHeight="1">
      <c r="A35" s="198"/>
      <c r="B35" s="196"/>
      <c r="C35" s="196"/>
      <c r="D35" s="196"/>
      <c r="E35" s="196"/>
    </row>
    <row r="36" spans="1:5" ht="15.75" customHeight="1">
      <c r="A36" s="198" t="s">
        <v>810</v>
      </c>
      <c r="B36" s="196"/>
      <c r="C36" s="196"/>
      <c r="D36" s="196"/>
      <c r="E36" s="27">
        <f>IF(E34&gt;=10000000,5000000*2%+5000000*1%+(E34-10000000)*0.5%,IF(E34&gt;=5000000,5000000*2%+(E34-5000000)*1%,E34*2%))</f>
        <v>114821.6841</v>
      </c>
    </row>
    <row r="37" spans="1:5" ht="14.25" customHeight="1">
      <c r="A37" s="198" t="s">
        <v>25</v>
      </c>
      <c r="B37" s="196"/>
      <c r="C37" s="196"/>
      <c r="D37" s="196"/>
      <c r="E37" s="196"/>
    </row>
    <row r="38" spans="1:5" ht="35.25" customHeight="1">
      <c r="A38" s="198"/>
      <c r="B38" s="196"/>
      <c r="C38" s="196"/>
      <c r="D38" s="196"/>
      <c r="E38" s="196"/>
    </row>
    <row r="39" spans="1:5" ht="15.75" customHeight="1">
      <c r="A39" s="198" t="s">
        <v>26</v>
      </c>
      <c r="B39" s="196"/>
      <c r="C39" s="196"/>
      <c r="D39" s="196"/>
      <c r="E39" s="196"/>
    </row>
    <row r="40" spans="1:5" ht="15.75" customHeight="1">
      <c r="A40" s="198" t="s">
        <v>27</v>
      </c>
      <c r="B40" s="196"/>
      <c r="C40" s="196"/>
      <c r="D40" s="196"/>
      <c r="E40" s="196"/>
    </row>
    <row r="41" spans="1:5" ht="15.75" customHeight="1">
      <c r="A41" s="198" t="s">
        <v>28</v>
      </c>
      <c r="B41" s="196"/>
      <c r="C41" s="196"/>
      <c r="D41" s="196"/>
      <c r="E41" s="196"/>
    </row>
  </sheetData>
  <mergeCells count="18">
    <mergeCell ref="A41:E41"/>
    <mergeCell ref="A8:E8"/>
    <mergeCell ref="A9:E9"/>
    <mergeCell ref="A10:E10"/>
    <mergeCell ref="B34:D34"/>
    <mergeCell ref="A35:E35"/>
    <mergeCell ref="A36:D36"/>
    <mergeCell ref="A37:E37"/>
    <mergeCell ref="A6:E6"/>
    <mergeCell ref="A7:E7"/>
    <mergeCell ref="A38:E38"/>
    <mergeCell ref="A39:E39"/>
    <mergeCell ref="A40:E40"/>
    <mergeCell ref="A1:E1"/>
    <mergeCell ref="A2:E2"/>
    <mergeCell ref="A3:E3"/>
    <mergeCell ref="A4:E4"/>
    <mergeCell ref="A5:E5"/>
  </mergeCells>
  <conditionalFormatting sqref="E12:E33">
    <cfRule type="notContainsBlanks" dxfId="76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  <pageSetUpPr fitToPage="1"/>
  </sheetPr>
  <dimension ref="A1:E25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811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">
        <v>1</v>
      </c>
      <c r="B12" s="56" t="s">
        <v>772</v>
      </c>
      <c r="C12" s="84" t="s">
        <v>472</v>
      </c>
      <c r="D12" s="91">
        <v>7162</v>
      </c>
      <c r="E12" s="59">
        <v>7000</v>
      </c>
    </row>
    <row r="13" spans="1:5" ht="15.75" customHeight="1">
      <c r="A13" s="11">
        <v>2</v>
      </c>
      <c r="B13" s="88" t="s">
        <v>777</v>
      </c>
      <c r="C13" s="82" t="s">
        <v>16</v>
      </c>
      <c r="D13" s="82">
        <v>381</v>
      </c>
      <c r="E13" s="59">
        <v>21612.5</v>
      </c>
    </row>
    <row r="14" spans="1:5" ht="15.75" customHeight="1">
      <c r="A14" s="11">
        <v>3</v>
      </c>
      <c r="B14" s="86" t="s">
        <v>782</v>
      </c>
      <c r="C14" s="82" t="s">
        <v>783</v>
      </c>
      <c r="D14" s="82" t="s">
        <v>276</v>
      </c>
      <c r="E14" s="59">
        <v>16980</v>
      </c>
    </row>
    <row r="15" spans="1:5" ht="15.75" customHeight="1">
      <c r="A15" s="11">
        <v>4</v>
      </c>
      <c r="B15" s="86" t="s">
        <v>786</v>
      </c>
      <c r="C15" s="82" t="s">
        <v>267</v>
      </c>
      <c r="D15" s="82">
        <v>470</v>
      </c>
      <c r="E15" s="59">
        <v>16725</v>
      </c>
    </row>
    <row r="16" spans="1:5" ht="15.75" customHeight="1">
      <c r="A16" s="11">
        <v>5</v>
      </c>
      <c r="B16" s="86" t="s">
        <v>791</v>
      </c>
      <c r="C16" s="82" t="s">
        <v>792</v>
      </c>
      <c r="D16" s="82">
        <v>994</v>
      </c>
      <c r="E16" s="59">
        <v>4500000</v>
      </c>
    </row>
    <row r="17" spans="1:5" ht="15.75" customHeight="1">
      <c r="A17" s="11">
        <v>6</v>
      </c>
      <c r="B17" s="86" t="s">
        <v>804</v>
      </c>
      <c r="C17" s="82" t="s">
        <v>805</v>
      </c>
      <c r="D17" s="85">
        <v>529</v>
      </c>
      <c r="E17" s="59">
        <v>16500</v>
      </c>
    </row>
    <row r="18" spans="1:5" ht="15.75" customHeight="1">
      <c r="A18" s="8" t="s">
        <v>24</v>
      </c>
      <c r="B18" s="203"/>
      <c r="C18" s="204"/>
      <c r="D18" s="205"/>
      <c r="E18" s="49">
        <f>SUM(E12:E17)</f>
        <v>4578817.5</v>
      </c>
    </row>
    <row r="19" spans="1:5" ht="15.75" customHeight="1">
      <c r="A19" s="198"/>
      <c r="B19" s="196"/>
      <c r="C19" s="196"/>
      <c r="D19" s="196"/>
      <c r="E19" s="196"/>
    </row>
    <row r="20" spans="1:5" ht="15.75" customHeight="1">
      <c r="A20" s="198" t="s">
        <v>812</v>
      </c>
      <c r="B20" s="196"/>
      <c r="C20" s="196"/>
      <c r="D20" s="196"/>
      <c r="E20" s="27">
        <f>E18*8%</f>
        <v>366305.4</v>
      </c>
    </row>
    <row r="21" spans="1:5" ht="14.25" customHeight="1">
      <c r="A21" s="198" t="s">
        <v>25</v>
      </c>
      <c r="B21" s="196"/>
      <c r="C21" s="196"/>
      <c r="D21" s="196"/>
      <c r="E21" s="196"/>
    </row>
    <row r="22" spans="1:5" ht="35.25" customHeight="1">
      <c r="A22" s="198"/>
      <c r="B22" s="196"/>
      <c r="C22" s="196"/>
      <c r="D22" s="196"/>
      <c r="E22" s="196"/>
    </row>
    <row r="23" spans="1:5" ht="15.75" customHeight="1">
      <c r="A23" s="198" t="s">
        <v>26</v>
      </c>
      <c r="B23" s="196"/>
      <c r="C23" s="196"/>
      <c r="D23" s="196"/>
      <c r="E23" s="196"/>
    </row>
    <row r="24" spans="1:5" ht="15.75" customHeight="1">
      <c r="A24" s="198" t="s">
        <v>27</v>
      </c>
      <c r="B24" s="196"/>
      <c r="C24" s="196"/>
      <c r="D24" s="196"/>
      <c r="E24" s="196"/>
    </row>
    <row r="25" spans="1:5" ht="15.75" customHeight="1">
      <c r="A25" s="198" t="s">
        <v>28</v>
      </c>
      <c r="B25" s="196"/>
      <c r="C25" s="196"/>
      <c r="D25" s="196"/>
      <c r="E25" s="196"/>
    </row>
  </sheetData>
  <mergeCells count="18">
    <mergeCell ref="A25:E25"/>
    <mergeCell ref="A8:E8"/>
    <mergeCell ref="A9:E9"/>
    <mergeCell ref="A10:E10"/>
    <mergeCell ref="B18:D18"/>
    <mergeCell ref="A19:E19"/>
    <mergeCell ref="A20:D20"/>
    <mergeCell ref="A21:E21"/>
    <mergeCell ref="A6:E6"/>
    <mergeCell ref="A7:E7"/>
    <mergeCell ref="A22:E22"/>
    <mergeCell ref="A23:E23"/>
    <mergeCell ref="A24:E24"/>
    <mergeCell ref="A1:E1"/>
    <mergeCell ref="A2:E2"/>
    <mergeCell ref="A3:E3"/>
    <mergeCell ref="A4:E4"/>
    <mergeCell ref="A5:E5"/>
  </mergeCells>
  <conditionalFormatting sqref="E12:E17">
    <cfRule type="notContainsBlanks" dxfId="75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  <pageSetUpPr fitToPage="1"/>
  </sheetPr>
  <dimension ref="A1:E37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728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">
        <v>1</v>
      </c>
      <c r="B12" s="12" t="s">
        <v>729</v>
      </c>
      <c r="C12" s="13" t="s">
        <v>730</v>
      </c>
      <c r="D12" s="13">
        <v>469</v>
      </c>
      <c r="E12" s="18">
        <v>1344.3</v>
      </c>
    </row>
    <row r="13" spans="1:5" ht="15.75" customHeight="1">
      <c r="A13" s="11">
        <v>2</v>
      </c>
      <c r="B13" s="37" t="s">
        <v>167</v>
      </c>
      <c r="C13" s="13" t="s">
        <v>168</v>
      </c>
      <c r="D13" s="75">
        <v>106</v>
      </c>
      <c r="E13" s="18">
        <v>176000</v>
      </c>
    </row>
    <row r="14" spans="1:5" ht="15.75" customHeight="1">
      <c r="A14" s="11">
        <v>3</v>
      </c>
      <c r="B14" s="17" t="s">
        <v>731</v>
      </c>
      <c r="C14" s="13" t="s">
        <v>732</v>
      </c>
      <c r="D14" s="13">
        <v>14038</v>
      </c>
      <c r="E14" s="18">
        <v>206689.19</v>
      </c>
    </row>
    <row r="15" spans="1:5" ht="15.75" customHeight="1">
      <c r="A15" s="11">
        <v>4</v>
      </c>
      <c r="B15" s="12" t="s">
        <v>734</v>
      </c>
      <c r="C15" s="13" t="s">
        <v>735</v>
      </c>
      <c r="D15" s="13">
        <v>100</v>
      </c>
      <c r="E15" s="14">
        <v>558880</v>
      </c>
    </row>
    <row r="16" spans="1:5" ht="15.75" customHeight="1">
      <c r="A16" s="11">
        <v>5</v>
      </c>
      <c r="B16" s="12" t="s">
        <v>738</v>
      </c>
      <c r="C16" s="13" t="s">
        <v>739</v>
      </c>
      <c r="D16" s="13">
        <v>49</v>
      </c>
      <c r="E16" s="19">
        <v>1101132</v>
      </c>
    </row>
    <row r="17" spans="1:5" ht="15.75" customHeight="1">
      <c r="A17" s="11">
        <v>6</v>
      </c>
      <c r="B17" s="17" t="s">
        <v>740</v>
      </c>
      <c r="C17" s="13" t="s">
        <v>741</v>
      </c>
      <c r="D17" s="13">
        <v>5834</v>
      </c>
      <c r="E17" s="18">
        <v>7000</v>
      </c>
    </row>
    <row r="18" spans="1:5" ht="15.75" customHeight="1">
      <c r="A18" s="11">
        <v>7</v>
      </c>
      <c r="B18" s="24" t="s">
        <v>742</v>
      </c>
      <c r="C18" s="78" t="s">
        <v>654</v>
      </c>
      <c r="D18" s="78">
        <v>704</v>
      </c>
      <c r="E18" s="79">
        <v>2390</v>
      </c>
    </row>
    <row r="19" spans="1:5" ht="15.75" customHeight="1">
      <c r="A19" s="11">
        <v>8</v>
      </c>
      <c r="B19" s="12" t="s">
        <v>743</v>
      </c>
      <c r="C19" s="13" t="s">
        <v>81</v>
      </c>
      <c r="D19" s="75" t="s">
        <v>744</v>
      </c>
      <c r="E19" s="18">
        <v>204720</v>
      </c>
    </row>
    <row r="20" spans="1:5" ht="15.75" customHeight="1">
      <c r="A20" s="11">
        <v>9</v>
      </c>
      <c r="B20" s="12" t="s">
        <v>745</v>
      </c>
      <c r="C20" s="13" t="s">
        <v>81</v>
      </c>
      <c r="D20" s="13" t="s">
        <v>746</v>
      </c>
      <c r="E20" s="14">
        <v>200652</v>
      </c>
    </row>
    <row r="21" spans="1:5" ht="15.75" customHeight="1">
      <c r="A21" s="11">
        <v>10</v>
      </c>
      <c r="B21" s="80" t="s">
        <v>747</v>
      </c>
      <c r="C21" s="78" t="s">
        <v>665</v>
      </c>
      <c r="D21" s="78" t="s">
        <v>748</v>
      </c>
      <c r="E21" s="14">
        <v>16000</v>
      </c>
    </row>
    <row r="22" spans="1:5" ht="15.75" customHeight="1">
      <c r="A22" s="11">
        <v>11</v>
      </c>
      <c r="B22" s="12" t="s">
        <v>751</v>
      </c>
      <c r="C22" s="13" t="s">
        <v>20</v>
      </c>
      <c r="D22" s="13" t="s">
        <v>752</v>
      </c>
      <c r="E22" s="19">
        <v>23292</v>
      </c>
    </row>
    <row r="23" spans="1:5" ht="15.75" customHeight="1">
      <c r="A23" s="11">
        <v>12</v>
      </c>
      <c r="B23" s="12" t="s">
        <v>753</v>
      </c>
      <c r="C23" s="13" t="s">
        <v>741</v>
      </c>
      <c r="D23" s="13">
        <v>6205</v>
      </c>
      <c r="E23" s="14">
        <v>6500</v>
      </c>
    </row>
    <row r="24" spans="1:5" ht="15.75" customHeight="1">
      <c r="A24" s="11">
        <v>13</v>
      </c>
      <c r="B24" s="41" t="s">
        <v>754</v>
      </c>
      <c r="C24" s="50" t="s">
        <v>755</v>
      </c>
      <c r="D24" s="50">
        <v>7916</v>
      </c>
      <c r="E24" s="14">
        <v>435653.5</v>
      </c>
    </row>
    <row r="25" spans="1:5" ht="15.75" customHeight="1">
      <c r="A25" s="11">
        <v>14</v>
      </c>
      <c r="B25" s="41" t="s">
        <v>756</v>
      </c>
      <c r="C25" s="13" t="s">
        <v>757</v>
      </c>
      <c r="D25" s="50" t="s">
        <v>758</v>
      </c>
      <c r="E25" s="14">
        <v>43739.21</v>
      </c>
    </row>
    <row r="26" spans="1:5" ht="15.75" customHeight="1">
      <c r="A26" s="11">
        <v>15</v>
      </c>
      <c r="B26" s="12" t="s">
        <v>759</v>
      </c>
      <c r="C26" s="13" t="s">
        <v>760</v>
      </c>
      <c r="D26" s="13">
        <v>1541</v>
      </c>
      <c r="E26" s="14">
        <v>111600</v>
      </c>
    </row>
    <row r="27" spans="1:5" ht="15.75" customHeight="1">
      <c r="A27" s="11">
        <v>16</v>
      </c>
      <c r="B27" s="45" t="s">
        <v>761</v>
      </c>
      <c r="C27" s="72" t="s">
        <v>762</v>
      </c>
      <c r="D27" s="72">
        <v>7017</v>
      </c>
      <c r="E27" s="48">
        <v>1102954.69</v>
      </c>
    </row>
    <row r="28" spans="1:5" ht="15.75" customHeight="1">
      <c r="A28" s="11">
        <v>17</v>
      </c>
      <c r="B28" s="69" t="s">
        <v>763</v>
      </c>
      <c r="C28" s="42" t="s">
        <v>56</v>
      </c>
      <c r="D28" s="46">
        <v>322</v>
      </c>
      <c r="E28" s="48">
        <v>32441</v>
      </c>
    </row>
    <row r="29" spans="1:5" ht="15.75" customHeight="1">
      <c r="A29" s="11">
        <v>18</v>
      </c>
      <c r="B29" s="69" t="s">
        <v>764</v>
      </c>
      <c r="C29" s="81" t="s">
        <v>765</v>
      </c>
      <c r="D29" s="46">
        <v>790</v>
      </c>
      <c r="E29" s="71">
        <v>88340</v>
      </c>
    </row>
    <row r="30" spans="1:5" ht="15.75" customHeight="1">
      <c r="A30" s="8" t="s">
        <v>24</v>
      </c>
      <c r="B30" s="203"/>
      <c r="C30" s="204"/>
      <c r="D30" s="205"/>
      <c r="E30" s="49">
        <f>SUM(E12:E29)</f>
        <v>4319327.8900000006</v>
      </c>
    </row>
    <row r="31" spans="1:5" ht="15.75" customHeight="1">
      <c r="A31" s="198"/>
      <c r="B31" s="196"/>
      <c r="C31" s="196"/>
      <c r="D31" s="196"/>
      <c r="E31" s="196"/>
    </row>
    <row r="32" spans="1:5" ht="15.75" customHeight="1">
      <c r="A32" s="198" t="s">
        <v>766</v>
      </c>
      <c r="B32" s="196"/>
      <c r="C32" s="196"/>
      <c r="D32" s="196"/>
      <c r="E32" s="27">
        <f>E30*8%</f>
        <v>345546.23120000004</v>
      </c>
    </row>
    <row r="33" spans="1:5" ht="14.25" customHeight="1">
      <c r="A33" s="198" t="s">
        <v>25</v>
      </c>
      <c r="B33" s="196"/>
      <c r="C33" s="196"/>
      <c r="D33" s="196"/>
      <c r="E33" s="196"/>
    </row>
    <row r="34" spans="1:5" ht="35.25" customHeight="1">
      <c r="A34" s="198"/>
      <c r="B34" s="196"/>
      <c r="C34" s="196"/>
      <c r="D34" s="196"/>
      <c r="E34" s="196"/>
    </row>
    <row r="35" spans="1:5" ht="15.75" customHeight="1">
      <c r="A35" s="198" t="s">
        <v>26</v>
      </c>
      <c r="B35" s="196"/>
      <c r="C35" s="196"/>
      <c r="D35" s="196"/>
      <c r="E35" s="196"/>
    </row>
    <row r="36" spans="1:5" ht="15.75" customHeight="1">
      <c r="A36" s="198" t="s">
        <v>27</v>
      </c>
      <c r="B36" s="196"/>
      <c r="C36" s="196"/>
      <c r="D36" s="196"/>
      <c r="E36" s="196"/>
    </row>
    <row r="37" spans="1:5" ht="15.75" customHeight="1">
      <c r="A37" s="198" t="s">
        <v>28</v>
      </c>
      <c r="B37" s="196"/>
      <c r="C37" s="196"/>
      <c r="D37" s="196"/>
      <c r="E37" s="196"/>
    </row>
  </sheetData>
  <mergeCells count="18">
    <mergeCell ref="A37:E37"/>
    <mergeCell ref="A8:E8"/>
    <mergeCell ref="A9:E9"/>
    <mergeCell ref="A10:E10"/>
    <mergeCell ref="B30:D30"/>
    <mergeCell ref="A31:E31"/>
    <mergeCell ref="A32:D32"/>
    <mergeCell ref="A33:E33"/>
    <mergeCell ref="A6:E6"/>
    <mergeCell ref="A7:E7"/>
    <mergeCell ref="A34:E34"/>
    <mergeCell ref="A35:E35"/>
    <mergeCell ref="A36:E36"/>
    <mergeCell ref="A1:E1"/>
    <mergeCell ref="A2:E2"/>
    <mergeCell ref="A3:E3"/>
    <mergeCell ref="A4:E4"/>
    <mergeCell ref="A5:E5"/>
  </mergeCells>
  <conditionalFormatting sqref="E12:E29">
    <cfRule type="notContainsBlanks" dxfId="74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  <pageSetUpPr fitToPage="1"/>
  </sheetPr>
  <dimension ref="A1:E34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813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">
        <v>1</v>
      </c>
      <c r="B12" s="12" t="s">
        <v>814</v>
      </c>
      <c r="C12" s="13" t="s">
        <v>815</v>
      </c>
      <c r="D12" s="13">
        <v>3310</v>
      </c>
      <c r="E12" s="18">
        <v>27664</v>
      </c>
    </row>
    <row r="13" spans="1:5" ht="15.75" customHeight="1">
      <c r="A13" s="11">
        <v>2</v>
      </c>
      <c r="B13" s="37" t="s">
        <v>816</v>
      </c>
      <c r="C13" s="13" t="s">
        <v>817</v>
      </c>
      <c r="D13" s="75">
        <v>288828</v>
      </c>
      <c r="E13" s="18">
        <v>36614.400000000001</v>
      </c>
    </row>
    <row r="14" spans="1:5" ht="15.75" customHeight="1">
      <c r="A14" s="11">
        <v>3</v>
      </c>
      <c r="B14" s="80" t="s">
        <v>818</v>
      </c>
      <c r="C14" s="78" t="s">
        <v>819</v>
      </c>
      <c r="D14" s="78">
        <v>659</v>
      </c>
      <c r="E14" s="14">
        <v>270000</v>
      </c>
    </row>
    <row r="15" spans="1:5" ht="15.75" customHeight="1">
      <c r="A15" s="11">
        <v>4</v>
      </c>
      <c r="B15" s="69" t="s">
        <v>820</v>
      </c>
      <c r="C15" s="46" t="s">
        <v>329</v>
      </c>
      <c r="D15" s="13">
        <v>13245</v>
      </c>
      <c r="E15" s="71">
        <v>124000</v>
      </c>
    </row>
    <row r="16" spans="1:5" ht="15.75" customHeight="1">
      <c r="A16" s="11">
        <v>5</v>
      </c>
      <c r="B16" s="12" t="s">
        <v>821</v>
      </c>
      <c r="C16" s="13" t="s">
        <v>209</v>
      </c>
      <c r="D16" s="13">
        <v>1949</v>
      </c>
      <c r="E16" s="19">
        <v>101250</v>
      </c>
    </row>
    <row r="17" spans="1:5" ht="15.75" customHeight="1">
      <c r="A17" s="11">
        <v>6</v>
      </c>
      <c r="B17" s="92" t="s">
        <v>822</v>
      </c>
      <c r="C17" s="78" t="s">
        <v>823</v>
      </c>
      <c r="D17" s="78">
        <v>3736</v>
      </c>
      <c r="E17" s="14">
        <v>17219</v>
      </c>
    </row>
    <row r="18" spans="1:5" ht="15.75" customHeight="1">
      <c r="A18" s="11">
        <v>7</v>
      </c>
      <c r="B18" s="12" t="s">
        <v>824</v>
      </c>
      <c r="C18" s="78" t="s">
        <v>819</v>
      </c>
      <c r="D18" s="13">
        <v>673</v>
      </c>
      <c r="E18" s="14">
        <v>417500</v>
      </c>
    </row>
    <row r="19" spans="1:5" ht="15.75" customHeight="1">
      <c r="A19" s="11">
        <v>8</v>
      </c>
      <c r="B19" s="12" t="s">
        <v>825</v>
      </c>
      <c r="C19" s="13" t="s">
        <v>826</v>
      </c>
      <c r="D19" s="13">
        <v>16839</v>
      </c>
      <c r="E19" s="19">
        <v>200058.83</v>
      </c>
    </row>
    <row r="20" spans="1:5" ht="15.75" customHeight="1">
      <c r="A20" s="11">
        <v>9</v>
      </c>
      <c r="B20" s="24" t="s">
        <v>827</v>
      </c>
      <c r="C20" s="78" t="s">
        <v>828</v>
      </c>
      <c r="D20" s="78" t="s">
        <v>829</v>
      </c>
      <c r="E20" s="79">
        <v>65500</v>
      </c>
    </row>
    <row r="21" spans="1:5" ht="15.75" customHeight="1">
      <c r="A21" s="11">
        <v>10</v>
      </c>
      <c r="B21" s="12" t="s">
        <v>830</v>
      </c>
      <c r="C21" s="13" t="s">
        <v>831</v>
      </c>
      <c r="D21" s="75">
        <v>2739</v>
      </c>
      <c r="E21" s="18">
        <v>20109</v>
      </c>
    </row>
    <row r="22" spans="1:5" ht="15.75" customHeight="1">
      <c r="A22" s="11">
        <v>11</v>
      </c>
      <c r="B22" s="12" t="s">
        <v>832</v>
      </c>
      <c r="C22" s="13" t="s">
        <v>783</v>
      </c>
      <c r="D22" s="13" t="s">
        <v>833</v>
      </c>
      <c r="E22" s="14">
        <v>40891</v>
      </c>
    </row>
    <row r="23" spans="1:5" ht="15.75" customHeight="1">
      <c r="A23" s="11">
        <v>12</v>
      </c>
      <c r="B23" s="80" t="s">
        <v>834</v>
      </c>
      <c r="C23" s="78" t="s">
        <v>783</v>
      </c>
      <c r="D23" s="78" t="s">
        <v>835</v>
      </c>
      <c r="E23" s="14">
        <v>7080</v>
      </c>
    </row>
    <row r="24" spans="1:5" ht="15.75" customHeight="1">
      <c r="A24" s="11">
        <v>13</v>
      </c>
      <c r="B24" s="17" t="s">
        <v>836</v>
      </c>
      <c r="C24" s="13" t="s">
        <v>711</v>
      </c>
      <c r="D24" s="13">
        <v>460</v>
      </c>
      <c r="E24" s="18">
        <v>263500</v>
      </c>
    </row>
    <row r="25" spans="1:5" ht="15.75" customHeight="1">
      <c r="A25" s="11">
        <v>14</v>
      </c>
      <c r="B25" s="24" t="s">
        <v>837</v>
      </c>
      <c r="C25" s="78" t="s">
        <v>831</v>
      </c>
      <c r="D25" s="78">
        <v>2655</v>
      </c>
      <c r="E25" s="18">
        <v>11350</v>
      </c>
    </row>
    <row r="26" spans="1:5" ht="15.75" customHeight="1">
      <c r="A26" s="11">
        <v>15</v>
      </c>
      <c r="B26" s="12" t="s">
        <v>838</v>
      </c>
      <c r="C26" s="13" t="s">
        <v>269</v>
      </c>
      <c r="D26" s="13">
        <v>5651</v>
      </c>
      <c r="E26" s="14">
        <v>31900</v>
      </c>
    </row>
    <row r="27" spans="1:5" ht="15.75" customHeight="1">
      <c r="A27" s="8" t="s">
        <v>24</v>
      </c>
      <c r="B27" s="203"/>
      <c r="C27" s="204"/>
      <c r="D27" s="205"/>
      <c r="E27" s="49">
        <f>SUM(E12:E26)</f>
        <v>1634636.23</v>
      </c>
    </row>
    <row r="28" spans="1:5" ht="15.75" customHeight="1">
      <c r="A28" s="198"/>
      <c r="B28" s="196"/>
      <c r="C28" s="196"/>
      <c r="D28" s="196"/>
      <c r="E28" s="196"/>
    </row>
    <row r="29" spans="1:5" ht="15.75" customHeight="1">
      <c r="A29" s="198" t="s">
        <v>839</v>
      </c>
      <c r="B29" s="196"/>
      <c r="C29" s="196"/>
      <c r="D29" s="196"/>
      <c r="E29" s="27">
        <f>IF(E27&gt;=10000000,5000000*2%+5000000*1%+(E27-10000000)*0.5%,IF(E27&gt;=5000000,5000000*2%+(E27-5000000)*1%,E27*2%))</f>
        <v>32692.724600000001</v>
      </c>
    </row>
    <row r="30" spans="1:5" ht="14.25" customHeight="1">
      <c r="A30" s="198" t="s">
        <v>25</v>
      </c>
      <c r="B30" s="196"/>
      <c r="C30" s="196"/>
      <c r="D30" s="196"/>
      <c r="E30" s="196"/>
    </row>
    <row r="31" spans="1:5" ht="35.25" customHeight="1">
      <c r="A31" s="198"/>
      <c r="B31" s="196"/>
      <c r="C31" s="196"/>
      <c r="D31" s="196"/>
      <c r="E31" s="196"/>
    </row>
    <row r="32" spans="1:5" ht="15.75" customHeight="1">
      <c r="A32" s="198" t="s">
        <v>26</v>
      </c>
      <c r="B32" s="196"/>
      <c r="C32" s="196"/>
      <c r="D32" s="196"/>
      <c r="E32" s="196"/>
    </row>
    <row r="33" spans="1:5" ht="15.75" customHeight="1">
      <c r="A33" s="198" t="s">
        <v>27</v>
      </c>
      <c r="B33" s="196"/>
      <c r="C33" s="196"/>
      <c r="D33" s="196"/>
      <c r="E33" s="196"/>
    </row>
    <row r="34" spans="1:5" ht="15.75" customHeight="1">
      <c r="A34" s="198" t="s">
        <v>28</v>
      </c>
      <c r="B34" s="196"/>
      <c r="C34" s="196"/>
      <c r="D34" s="196"/>
      <c r="E34" s="196"/>
    </row>
  </sheetData>
  <mergeCells count="18">
    <mergeCell ref="A34:E34"/>
    <mergeCell ref="A8:E8"/>
    <mergeCell ref="A9:E9"/>
    <mergeCell ref="A10:E10"/>
    <mergeCell ref="B27:D27"/>
    <mergeCell ref="A28:E28"/>
    <mergeCell ref="A29:D29"/>
    <mergeCell ref="A30:E30"/>
    <mergeCell ref="A6:E6"/>
    <mergeCell ref="A7:E7"/>
    <mergeCell ref="A31:E31"/>
    <mergeCell ref="A32:E32"/>
    <mergeCell ref="A33:E33"/>
    <mergeCell ref="A1:E1"/>
    <mergeCell ref="A2:E2"/>
    <mergeCell ref="A3:E3"/>
    <mergeCell ref="A4:E4"/>
    <mergeCell ref="A5:E5"/>
  </mergeCells>
  <conditionalFormatting sqref="E12:E26">
    <cfRule type="notContainsBlanks" dxfId="73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  <pageSetUpPr fitToPage="1"/>
  </sheetPr>
  <dimension ref="A1:E43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840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">
        <v>1</v>
      </c>
      <c r="B12" s="12" t="s">
        <v>814</v>
      </c>
      <c r="C12" s="13" t="s">
        <v>815</v>
      </c>
      <c r="D12" s="13">
        <v>3310</v>
      </c>
      <c r="E12" s="18">
        <v>27380.799999999999</v>
      </c>
    </row>
    <row r="13" spans="1:5" ht="15.75" customHeight="1">
      <c r="A13" s="11">
        <v>2</v>
      </c>
      <c r="B13" s="37" t="s">
        <v>816</v>
      </c>
      <c r="C13" s="13" t="s">
        <v>817</v>
      </c>
      <c r="D13" s="75">
        <v>288828</v>
      </c>
      <c r="E13" s="18">
        <v>36614.400000000001</v>
      </c>
    </row>
    <row r="14" spans="1:5" ht="15.75" customHeight="1">
      <c r="A14" s="11">
        <v>3</v>
      </c>
      <c r="B14" s="80" t="s">
        <v>818</v>
      </c>
      <c r="C14" s="78" t="s">
        <v>819</v>
      </c>
      <c r="D14" s="78">
        <v>659</v>
      </c>
      <c r="E14" s="14">
        <v>270000</v>
      </c>
    </row>
    <row r="15" spans="1:5" ht="15.75" customHeight="1">
      <c r="A15" s="11">
        <v>4</v>
      </c>
      <c r="B15" s="69" t="s">
        <v>820</v>
      </c>
      <c r="C15" s="46" t="s">
        <v>329</v>
      </c>
      <c r="D15" s="13">
        <v>13245</v>
      </c>
      <c r="E15" s="71">
        <v>124000</v>
      </c>
    </row>
    <row r="16" spans="1:5" ht="15.75" customHeight="1">
      <c r="A16" s="11">
        <v>5</v>
      </c>
      <c r="B16" s="12" t="s">
        <v>821</v>
      </c>
      <c r="C16" s="13" t="s">
        <v>209</v>
      </c>
      <c r="D16" s="13">
        <v>1949</v>
      </c>
      <c r="E16" s="19">
        <v>101250</v>
      </c>
    </row>
    <row r="17" spans="1:5" ht="15.75" customHeight="1">
      <c r="A17" s="11">
        <v>6</v>
      </c>
      <c r="B17" s="92" t="s">
        <v>822</v>
      </c>
      <c r="C17" s="78" t="s">
        <v>823</v>
      </c>
      <c r="D17" s="78">
        <v>3736</v>
      </c>
      <c r="E17" s="14">
        <v>17219</v>
      </c>
    </row>
    <row r="18" spans="1:5" ht="15.75" customHeight="1">
      <c r="A18" s="11">
        <v>7</v>
      </c>
      <c r="B18" s="12" t="s">
        <v>824</v>
      </c>
      <c r="C18" s="78" t="s">
        <v>819</v>
      </c>
      <c r="D18" s="13">
        <v>673</v>
      </c>
      <c r="E18" s="14">
        <v>417500</v>
      </c>
    </row>
    <row r="19" spans="1:5" ht="15.75" customHeight="1">
      <c r="A19" s="11">
        <v>8</v>
      </c>
      <c r="B19" s="12" t="s">
        <v>825</v>
      </c>
      <c r="C19" s="13" t="s">
        <v>826</v>
      </c>
      <c r="D19" s="13">
        <v>16839</v>
      </c>
      <c r="E19" s="19">
        <v>200058.83</v>
      </c>
    </row>
    <row r="20" spans="1:5" ht="15.75" customHeight="1">
      <c r="A20" s="11">
        <v>9</v>
      </c>
      <c r="B20" s="24" t="s">
        <v>827</v>
      </c>
      <c r="C20" s="78" t="s">
        <v>828</v>
      </c>
      <c r="D20" s="78" t="s">
        <v>829</v>
      </c>
      <c r="E20" s="79">
        <v>65500</v>
      </c>
    </row>
    <row r="21" spans="1:5" ht="15.75" customHeight="1">
      <c r="A21" s="11">
        <v>10</v>
      </c>
      <c r="B21" s="12" t="s">
        <v>830</v>
      </c>
      <c r="C21" s="13" t="s">
        <v>831</v>
      </c>
      <c r="D21" s="75">
        <v>2739</v>
      </c>
      <c r="E21" s="18">
        <v>20109</v>
      </c>
    </row>
    <row r="22" spans="1:5" ht="15.75" customHeight="1">
      <c r="A22" s="11">
        <v>11</v>
      </c>
      <c r="B22" s="12" t="s">
        <v>832</v>
      </c>
      <c r="C22" s="13" t="s">
        <v>783</v>
      </c>
      <c r="D22" s="13" t="s">
        <v>833</v>
      </c>
      <c r="E22" s="14">
        <v>40891</v>
      </c>
    </row>
    <row r="23" spans="1:5" ht="15.75" customHeight="1">
      <c r="A23" s="11">
        <v>12</v>
      </c>
      <c r="B23" s="80" t="s">
        <v>834</v>
      </c>
      <c r="C23" s="78" t="s">
        <v>783</v>
      </c>
      <c r="D23" s="78" t="s">
        <v>835</v>
      </c>
      <c r="E23" s="14">
        <v>7080</v>
      </c>
    </row>
    <row r="24" spans="1:5" ht="15.75" customHeight="1">
      <c r="A24" s="11">
        <v>13</v>
      </c>
      <c r="B24" s="17" t="s">
        <v>836</v>
      </c>
      <c r="C24" s="13" t="s">
        <v>711</v>
      </c>
      <c r="D24" s="13">
        <v>460</v>
      </c>
      <c r="E24" s="18">
        <v>263500</v>
      </c>
    </row>
    <row r="25" spans="1:5" ht="15.75" customHeight="1">
      <c r="A25" s="11">
        <v>14</v>
      </c>
      <c r="B25" s="24" t="s">
        <v>837</v>
      </c>
      <c r="C25" s="78" t="s">
        <v>831</v>
      </c>
      <c r="D25" s="78">
        <v>2655</v>
      </c>
      <c r="E25" s="18">
        <v>11350</v>
      </c>
    </row>
    <row r="26" spans="1:5" ht="15.75" customHeight="1">
      <c r="A26" s="11">
        <v>15</v>
      </c>
      <c r="B26" s="12" t="s">
        <v>838</v>
      </c>
      <c r="C26" s="13" t="s">
        <v>269</v>
      </c>
      <c r="D26" s="13">
        <v>5651</v>
      </c>
      <c r="E26" s="14">
        <v>31900</v>
      </c>
    </row>
    <row r="27" spans="1:5" ht="15.75" customHeight="1">
      <c r="A27" s="11">
        <v>16</v>
      </c>
      <c r="B27" s="12" t="s">
        <v>841</v>
      </c>
      <c r="C27" s="13" t="s">
        <v>842</v>
      </c>
      <c r="D27" s="13" t="s">
        <v>843</v>
      </c>
      <c r="E27" s="14">
        <v>38576</v>
      </c>
    </row>
    <row r="28" spans="1:5" ht="15.75" customHeight="1">
      <c r="A28" s="11">
        <v>17</v>
      </c>
      <c r="B28" s="12" t="s">
        <v>844</v>
      </c>
      <c r="C28" s="13" t="s">
        <v>845</v>
      </c>
      <c r="D28" s="13" t="s">
        <v>846</v>
      </c>
      <c r="E28" s="14">
        <v>8578</v>
      </c>
    </row>
    <row r="29" spans="1:5" ht="15.75" customHeight="1">
      <c r="A29" s="11">
        <v>18</v>
      </c>
      <c r="B29" s="12" t="s">
        <v>847</v>
      </c>
      <c r="C29" s="13" t="s">
        <v>848</v>
      </c>
      <c r="D29" s="13">
        <v>107084375</v>
      </c>
      <c r="E29" s="14">
        <v>16382</v>
      </c>
    </row>
    <row r="30" spans="1:5" ht="15.75" customHeight="1">
      <c r="A30" s="11">
        <v>19</v>
      </c>
      <c r="B30" s="12" t="s">
        <v>849</v>
      </c>
      <c r="C30" s="78" t="s">
        <v>783</v>
      </c>
      <c r="D30" s="13" t="s">
        <v>850</v>
      </c>
      <c r="E30" s="14">
        <v>15980</v>
      </c>
    </row>
    <row r="31" spans="1:5" ht="15.75" customHeight="1">
      <c r="A31" s="11">
        <v>20</v>
      </c>
      <c r="B31" s="12" t="s">
        <v>851</v>
      </c>
      <c r="C31" s="78" t="s">
        <v>19</v>
      </c>
      <c r="D31" s="13" t="s">
        <v>852</v>
      </c>
      <c r="E31" s="14">
        <v>16264.8</v>
      </c>
    </row>
    <row r="32" spans="1:5" ht="15.75" customHeight="1">
      <c r="A32" s="11">
        <v>21</v>
      </c>
      <c r="B32" s="12" t="s">
        <v>853</v>
      </c>
      <c r="C32" s="78" t="s">
        <v>19</v>
      </c>
      <c r="D32" s="13" t="s">
        <v>854</v>
      </c>
      <c r="E32" s="14">
        <v>9872.76</v>
      </c>
    </row>
    <row r="33" spans="1:5" ht="15.75" customHeight="1">
      <c r="A33" s="11">
        <v>22</v>
      </c>
      <c r="B33" s="12" t="s">
        <v>855</v>
      </c>
      <c r="C33" s="78" t="s">
        <v>828</v>
      </c>
      <c r="D33" s="78" t="s">
        <v>856</v>
      </c>
      <c r="E33" s="14">
        <v>74200</v>
      </c>
    </row>
    <row r="34" spans="1:5" ht="15.75" customHeight="1">
      <c r="A34" s="11">
        <v>23</v>
      </c>
      <c r="B34" s="12" t="s">
        <v>857</v>
      </c>
      <c r="C34" s="78" t="s">
        <v>858</v>
      </c>
      <c r="D34" s="78" t="s">
        <v>859</v>
      </c>
      <c r="E34" s="14">
        <v>116000</v>
      </c>
    </row>
    <row r="35" spans="1:5" ht="15.75" customHeight="1">
      <c r="A35" s="11">
        <v>24</v>
      </c>
      <c r="B35" s="12" t="s">
        <v>860</v>
      </c>
      <c r="C35" s="78" t="s">
        <v>861</v>
      </c>
      <c r="D35" s="78" t="s">
        <v>862</v>
      </c>
      <c r="E35" s="14">
        <v>1112840.6599999999</v>
      </c>
    </row>
    <row r="36" spans="1:5" ht="15.75" customHeight="1">
      <c r="A36" s="8" t="s">
        <v>24</v>
      </c>
      <c r="B36" s="203"/>
      <c r="C36" s="204"/>
      <c r="D36" s="205"/>
      <c r="E36" s="49">
        <f>SUM(E12:E35)</f>
        <v>3043047.25</v>
      </c>
    </row>
    <row r="37" spans="1:5" ht="15.75" customHeight="1">
      <c r="A37" s="198"/>
      <c r="B37" s="196"/>
      <c r="C37" s="196"/>
      <c r="D37" s="196"/>
      <c r="E37" s="196"/>
    </row>
    <row r="38" spans="1:5" ht="15.75" customHeight="1">
      <c r="A38" s="198" t="s">
        <v>863</v>
      </c>
      <c r="B38" s="196"/>
      <c r="C38" s="196"/>
      <c r="D38" s="196"/>
      <c r="E38" s="27">
        <f>E36*8%</f>
        <v>243443.78</v>
      </c>
    </row>
    <row r="39" spans="1:5" ht="14.25" customHeight="1">
      <c r="A39" s="198" t="s">
        <v>25</v>
      </c>
      <c r="B39" s="196"/>
      <c r="C39" s="196"/>
      <c r="D39" s="196"/>
      <c r="E39" s="196"/>
    </row>
    <row r="40" spans="1:5" ht="35.25" customHeight="1">
      <c r="A40" s="198"/>
      <c r="B40" s="196"/>
      <c r="C40" s="196"/>
      <c r="D40" s="196"/>
      <c r="E40" s="196"/>
    </row>
    <row r="41" spans="1:5" ht="15.75" customHeight="1">
      <c r="A41" s="198" t="s">
        <v>26</v>
      </c>
      <c r="B41" s="196"/>
      <c r="C41" s="196"/>
      <c r="D41" s="196"/>
      <c r="E41" s="196"/>
    </row>
    <row r="42" spans="1:5" ht="15.75" customHeight="1">
      <c r="A42" s="198" t="s">
        <v>27</v>
      </c>
      <c r="B42" s="196"/>
      <c r="C42" s="196"/>
      <c r="D42" s="196"/>
      <c r="E42" s="196"/>
    </row>
    <row r="43" spans="1:5" ht="15.75" customHeight="1">
      <c r="A43" s="198" t="s">
        <v>28</v>
      </c>
      <c r="B43" s="196"/>
      <c r="C43" s="196"/>
      <c r="D43" s="196"/>
      <c r="E43" s="196"/>
    </row>
  </sheetData>
  <mergeCells count="18">
    <mergeCell ref="A43:E43"/>
    <mergeCell ref="A8:E8"/>
    <mergeCell ref="A9:E9"/>
    <mergeCell ref="A10:E10"/>
    <mergeCell ref="B36:D36"/>
    <mergeCell ref="A37:E37"/>
    <mergeCell ref="A38:D38"/>
    <mergeCell ref="A39:E39"/>
    <mergeCell ref="A6:E6"/>
    <mergeCell ref="A7:E7"/>
    <mergeCell ref="A40:E40"/>
    <mergeCell ref="A41:E41"/>
    <mergeCell ref="A42:E42"/>
    <mergeCell ref="A1:E1"/>
    <mergeCell ref="A2:E2"/>
    <mergeCell ref="A3:E3"/>
    <mergeCell ref="A4:E4"/>
    <mergeCell ref="A5:E5"/>
  </mergeCells>
  <conditionalFormatting sqref="E12:E35">
    <cfRule type="notContainsBlanks" dxfId="72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  <pageSetUpPr fitToPage="1"/>
  </sheetPr>
  <dimension ref="A1:E49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864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">
        <v>1</v>
      </c>
      <c r="B12" s="12" t="s">
        <v>865</v>
      </c>
      <c r="C12" s="13" t="s">
        <v>866</v>
      </c>
      <c r="D12" s="13">
        <v>3583</v>
      </c>
      <c r="E12" s="18">
        <v>146540</v>
      </c>
    </row>
    <row r="13" spans="1:5" ht="15.75" customHeight="1">
      <c r="A13" s="11">
        <v>2</v>
      </c>
      <c r="B13" s="37" t="s">
        <v>867</v>
      </c>
      <c r="C13" s="13" t="s">
        <v>472</v>
      </c>
      <c r="D13" s="75">
        <v>8167</v>
      </c>
      <c r="E13" s="18">
        <v>21850</v>
      </c>
    </row>
    <row r="14" spans="1:5" ht="15.75" customHeight="1">
      <c r="A14" s="11">
        <v>3</v>
      </c>
      <c r="B14" s="12" t="s">
        <v>868</v>
      </c>
      <c r="C14" s="13" t="s">
        <v>334</v>
      </c>
      <c r="D14" s="13">
        <v>111569732</v>
      </c>
      <c r="E14" s="18">
        <v>15095</v>
      </c>
    </row>
    <row r="15" spans="1:5" ht="15.75" customHeight="1">
      <c r="A15" s="11">
        <v>4</v>
      </c>
      <c r="B15" s="17" t="s">
        <v>869</v>
      </c>
      <c r="C15" s="78" t="s">
        <v>870</v>
      </c>
      <c r="D15" s="50">
        <v>9610</v>
      </c>
      <c r="E15" s="18">
        <v>2500</v>
      </c>
    </row>
    <row r="16" spans="1:5" ht="15.75" customHeight="1">
      <c r="A16" s="11">
        <v>5</v>
      </c>
      <c r="B16" s="92" t="s">
        <v>871</v>
      </c>
      <c r="C16" s="78" t="s">
        <v>209</v>
      </c>
      <c r="D16" s="78">
        <v>2037</v>
      </c>
      <c r="E16" s="14">
        <v>155250</v>
      </c>
    </row>
    <row r="17" spans="1:5" ht="15.75" customHeight="1">
      <c r="A17" s="11">
        <v>6</v>
      </c>
      <c r="B17" s="12" t="s">
        <v>872</v>
      </c>
      <c r="C17" s="78" t="s">
        <v>45</v>
      </c>
      <c r="D17" s="13" t="s">
        <v>873</v>
      </c>
      <c r="E17" s="14">
        <v>41724</v>
      </c>
    </row>
    <row r="18" spans="1:5" ht="15.75" customHeight="1">
      <c r="A18" s="11">
        <v>7</v>
      </c>
      <c r="B18" s="12" t="s">
        <v>874</v>
      </c>
      <c r="C18" s="13" t="s">
        <v>269</v>
      </c>
      <c r="D18" s="13">
        <v>6431</v>
      </c>
      <c r="E18" s="19">
        <v>49000</v>
      </c>
    </row>
    <row r="19" spans="1:5" ht="15.75" customHeight="1">
      <c r="A19" s="11">
        <v>8</v>
      </c>
      <c r="B19" s="24" t="s">
        <v>875</v>
      </c>
      <c r="C19" s="78" t="s">
        <v>209</v>
      </c>
      <c r="D19" s="78">
        <v>2063</v>
      </c>
      <c r="E19" s="79">
        <v>101250</v>
      </c>
    </row>
    <row r="20" spans="1:5" ht="15.75" customHeight="1">
      <c r="A20" s="11">
        <v>9</v>
      </c>
      <c r="B20" s="12" t="s">
        <v>876</v>
      </c>
      <c r="C20" s="13" t="s">
        <v>877</v>
      </c>
      <c r="D20" s="75">
        <v>1036</v>
      </c>
      <c r="E20" s="18">
        <v>12300</v>
      </c>
    </row>
    <row r="21" spans="1:5" ht="15.75" customHeight="1">
      <c r="A21" s="11">
        <v>10</v>
      </c>
      <c r="B21" s="12" t="s">
        <v>878</v>
      </c>
      <c r="C21" s="13" t="s">
        <v>56</v>
      </c>
      <c r="D21" s="13">
        <v>525</v>
      </c>
      <c r="E21" s="14">
        <v>31250</v>
      </c>
    </row>
    <row r="22" spans="1:5" ht="15.75" customHeight="1">
      <c r="A22" s="11">
        <v>11</v>
      </c>
      <c r="B22" s="80" t="s">
        <v>879</v>
      </c>
      <c r="C22" s="78" t="s">
        <v>15</v>
      </c>
      <c r="D22" s="78" t="s">
        <v>880</v>
      </c>
      <c r="E22" s="14">
        <v>158093.20000000001</v>
      </c>
    </row>
    <row r="23" spans="1:5" ht="15.75" customHeight="1">
      <c r="A23" s="11">
        <v>12</v>
      </c>
      <c r="B23" s="17" t="s">
        <v>881</v>
      </c>
      <c r="C23" s="13" t="s">
        <v>882</v>
      </c>
      <c r="D23" s="13">
        <v>3692</v>
      </c>
      <c r="E23" s="18">
        <v>318600</v>
      </c>
    </row>
    <row r="24" spans="1:5" ht="15.75" customHeight="1">
      <c r="A24" s="11">
        <v>13</v>
      </c>
      <c r="B24" s="17" t="s">
        <v>883</v>
      </c>
      <c r="C24" s="78" t="s">
        <v>378</v>
      </c>
      <c r="D24" s="50">
        <v>2411</v>
      </c>
      <c r="E24" s="18">
        <v>25000</v>
      </c>
    </row>
    <row r="25" spans="1:5" ht="15.75" customHeight="1">
      <c r="A25" s="11">
        <v>14</v>
      </c>
      <c r="B25" s="12" t="s">
        <v>884</v>
      </c>
      <c r="C25" s="13" t="s">
        <v>16</v>
      </c>
      <c r="D25" s="13">
        <v>536</v>
      </c>
      <c r="E25" s="14">
        <v>10568</v>
      </c>
    </row>
    <row r="26" spans="1:5" ht="15.75" customHeight="1">
      <c r="A26" s="11">
        <v>15</v>
      </c>
      <c r="B26" s="24" t="s">
        <v>885</v>
      </c>
      <c r="C26" s="50" t="s">
        <v>886</v>
      </c>
      <c r="D26" s="50" t="s">
        <v>887</v>
      </c>
      <c r="E26" s="14">
        <v>15120</v>
      </c>
    </row>
    <row r="27" spans="1:5" ht="15.75" customHeight="1">
      <c r="A27" s="11">
        <v>16</v>
      </c>
      <c r="B27" s="24" t="s">
        <v>888</v>
      </c>
      <c r="C27" s="13" t="s">
        <v>870</v>
      </c>
      <c r="D27" s="50">
        <v>32241</v>
      </c>
      <c r="E27" s="14">
        <v>70200</v>
      </c>
    </row>
    <row r="28" spans="1:5" ht="15.75" customHeight="1">
      <c r="A28" s="11">
        <v>17</v>
      </c>
      <c r="B28" s="24" t="s">
        <v>889</v>
      </c>
      <c r="C28" s="78" t="s">
        <v>890</v>
      </c>
      <c r="D28" s="78" t="s">
        <v>891</v>
      </c>
      <c r="E28" s="14">
        <v>22750</v>
      </c>
    </row>
    <row r="29" spans="1:5" ht="15.75" customHeight="1">
      <c r="A29" s="11">
        <v>18</v>
      </c>
      <c r="B29" s="17" t="s">
        <v>892</v>
      </c>
      <c r="C29" s="50" t="s">
        <v>893</v>
      </c>
      <c r="D29" s="50" t="s">
        <v>894</v>
      </c>
      <c r="E29" s="18">
        <v>21840</v>
      </c>
    </row>
    <row r="30" spans="1:5" ht="15.75" customHeight="1">
      <c r="A30" s="11">
        <v>19</v>
      </c>
      <c r="B30" s="92" t="s">
        <v>895</v>
      </c>
      <c r="C30" s="78" t="s">
        <v>896</v>
      </c>
      <c r="D30" s="50">
        <v>68</v>
      </c>
      <c r="E30" s="18">
        <v>288000</v>
      </c>
    </row>
    <row r="31" spans="1:5" ht="15.75" customHeight="1">
      <c r="A31" s="11">
        <v>20</v>
      </c>
      <c r="B31" s="17" t="s">
        <v>897</v>
      </c>
      <c r="C31" s="13" t="s">
        <v>898</v>
      </c>
      <c r="D31" s="50" t="s">
        <v>899</v>
      </c>
      <c r="E31" s="18">
        <v>142100</v>
      </c>
    </row>
    <row r="32" spans="1:5" ht="15.75" customHeight="1">
      <c r="A32" s="11">
        <v>21</v>
      </c>
      <c r="B32" s="17" t="s">
        <v>900</v>
      </c>
      <c r="C32" s="13" t="s">
        <v>898</v>
      </c>
      <c r="D32" s="50" t="s">
        <v>901</v>
      </c>
      <c r="E32" s="18">
        <v>140880</v>
      </c>
    </row>
    <row r="33" spans="1:5" ht="15.75" customHeight="1">
      <c r="A33" s="11">
        <v>22</v>
      </c>
      <c r="B33" s="17" t="s">
        <v>902</v>
      </c>
      <c r="C33" s="13" t="s">
        <v>355</v>
      </c>
      <c r="D33" s="50">
        <v>1541</v>
      </c>
      <c r="E33" s="18">
        <v>69560</v>
      </c>
    </row>
    <row r="34" spans="1:5" ht="15.75" customHeight="1">
      <c r="A34" s="11">
        <v>23</v>
      </c>
      <c r="B34" s="17" t="s">
        <v>903</v>
      </c>
      <c r="C34" s="13" t="s">
        <v>378</v>
      </c>
      <c r="D34" s="50">
        <v>2111</v>
      </c>
      <c r="E34" s="18">
        <v>492000</v>
      </c>
    </row>
    <row r="35" spans="1:5" ht="15.75" customHeight="1">
      <c r="A35" s="11">
        <v>24</v>
      </c>
      <c r="B35" s="17" t="s">
        <v>904</v>
      </c>
      <c r="C35" s="13" t="s">
        <v>826</v>
      </c>
      <c r="D35" s="50">
        <v>19712</v>
      </c>
      <c r="E35" s="18">
        <v>28762.22</v>
      </c>
    </row>
    <row r="36" spans="1:5" ht="15.75" customHeight="1">
      <c r="A36" s="11">
        <v>25</v>
      </c>
      <c r="B36" s="17" t="s">
        <v>905</v>
      </c>
      <c r="C36" s="13" t="s">
        <v>906</v>
      </c>
      <c r="D36" s="50">
        <v>303823</v>
      </c>
      <c r="E36" s="18">
        <v>9952</v>
      </c>
    </row>
    <row r="37" spans="1:5" ht="15.75" customHeight="1">
      <c r="A37" s="11">
        <v>26</v>
      </c>
      <c r="B37" s="17" t="s">
        <v>907</v>
      </c>
      <c r="C37" s="78" t="s">
        <v>15</v>
      </c>
      <c r="D37" s="50" t="s">
        <v>908</v>
      </c>
      <c r="E37" s="18">
        <v>107952.94</v>
      </c>
    </row>
    <row r="38" spans="1:5" ht="15.75" customHeight="1">
      <c r="A38" s="11">
        <v>27</v>
      </c>
      <c r="B38" s="17" t="s">
        <v>909</v>
      </c>
      <c r="C38" s="78" t="s">
        <v>910</v>
      </c>
      <c r="D38" s="50" t="s">
        <v>911</v>
      </c>
      <c r="E38" s="18">
        <v>9670</v>
      </c>
    </row>
    <row r="39" spans="1:5" ht="15.75" customHeight="1">
      <c r="A39" s="11">
        <v>28</v>
      </c>
      <c r="B39" s="17" t="s">
        <v>912</v>
      </c>
      <c r="C39" s="78" t="s">
        <v>269</v>
      </c>
      <c r="D39" s="50">
        <v>6858</v>
      </c>
      <c r="E39" s="18">
        <v>57600</v>
      </c>
    </row>
    <row r="40" spans="1:5" ht="15.75" customHeight="1">
      <c r="A40" s="11">
        <v>29</v>
      </c>
      <c r="B40" s="17" t="s">
        <v>913</v>
      </c>
      <c r="C40" s="78" t="s">
        <v>16</v>
      </c>
      <c r="D40" s="50">
        <v>564</v>
      </c>
      <c r="E40" s="18">
        <v>13103</v>
      </c>
    </row>
    <row r="41" spans="1:5" ht="15.75" customHeight="1">
      <c r="A41" s="11">
        <v>30</v>
      </c>
      <c r="B41" s="17" t="s">
        <v>914</v>
      </c>
      <c r="C41" s="78" t="s">
        <v>915</v>
      </c>
      <c r="D41" s="50">
        <v>201</v>
      </c>
      <c r="E41" s="18">
        <v>35300</v>
      </c>
    </row>
    <row r="42" spans="1:5" ht="15.75" customHeight="1">
      <c r="A42" s="8" t="s">
        <v>24</v>
      </c>
      <c r="B42" s="203"/>
      <c r="C42" s="204"/>
      <c r="D42" s="205"/>
      <c r="E42" s="49">
        <f>SUM(E12:E41)</f>
        <v>2613810.3600000003</v>
      </c>
    </row>
    <row r="43" spans="1:5" ht="15.75" customHeight="1">
      <c r="A43" s="198"/>
      <c r="B43" s="196"/>
      <c r="C43" s="196"/>
      <c r="D43" s="196"/>
      <c r="E43" s="196"/>
    </row>
    <row r="44" spans="1:5" ht="15.75" customHeight="1">
      <c r="A44" s="198" t="s">
        <v>916</v>
      </c>
      <c r="B44" s="196"/>
      <c r="C44" s="196"/>
      <c r="D44" s="196"/>
      <c r="E44" s="27">
        <f>IF(E42&gt;=10000000,5000000*2%+5000000*1%+(E42-10000000)*0.5%,IF(E42&gt;=5000000,5000000*2%+(E42-5000000)*1%,E42*2%))</f>
        <v>52276.207200000004</v>
      </c>
    </row>
    <row r="45" spans="1:5" ht="14.25" customHeight="1">
      <c r="A45" s="198" t="s">
        <v>25</v>
      </c>
      <c r="B45" s="196"/>
      <c r="C45" s="196"/>
      <c r="D45" s="196"/>
      <c r="E45" s="196"/>
    </row>
    <row r="46" spans="1:5" ht="35.25" customHeight="1">
      <c r="A46" s="198"/>
      <c r="B46" s="196"/>
      <c r="C46" s="196"/>
      <c r="D46" s="196"/>
      <c r="E46" s="196"/>
    </row>
    <row r="47" spans="1:5" ht="15.75" customHeight="1">
      <c r="A47" s="198" t="s">
        <v>26</v>
      </c>
      <c r="B47" s="196"/>
      <c r="C47" s="196"/>
      <c r="D47" s="196"/>
      <c r="E47" s="196"/>
    </row>
    <row r="48" spans="1:5" ht="15.75" customHeight="1">
      <c r="A48" s="198" t="s">
        <v>27</v>
      </c>
      <c r="B48" s="196"/>
      <c r="C48" s="196"/>
      <c r="D48" s="196"/>
      <c r="E48" s="196"/>
    </row>
    <row r="49" spans="1:5" ht="15.75" customHeight="1">
      <c r="A49" s="198" t="s">
        <v>28</v>
      </c>
      <c r="B49" s="196"/>
      <c r="C49" s="196"/>
      <c r="D49" s="196"/>
      <c r="E49" s="196"/>
    </row>
  </sheetData>
  <mergeCells count="18">
    <mergeCell ref="A49:E49"/>
    <mergeCell ref="A8:E8"/>
    <mergeCell ref="A9:E9"/>
    <mergeCell ref="A10:E10"/>
    <mergeCell ref="B42:D42"/>
    <mergeCell ref="A43:E43"/>
    <mergeCell ref="A44:D44"/>
    <mergeCell ref="A45:E45"/>
    <mergeCell ref="A6:E6"/>
    <mergeCell ref="A7:E7"/>
    <mergeCell ref="A46:E46"/>
    <mergeCell ref="A47:E47"/>
    <mergeCell ref="A48:E48"/>
    <mergeCell ref="A1:E1"/>
    <mergeCell ref="A2:E2"/>
    <mergeCell ref="A3:E3"/>
    <mergeCell ref="A4:E4"/>
    <mergeCell ref="A5:E5"/>
  </mergeCells>
  <conditionalFormatting sqref="E12:E41">
    <cfRule type="notContainsBlanks" dxfId="71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  <pageSetUpPr fitToPage="1"/>
  </sheetPr>
  <dimension ref="A1:E50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917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">
        <v>1</v>
      </c>
      <c r="B12" s="12" t="s">
        <v>865</v>
      </c>
      <c r="C12" s="13" t="s">
        <v>866</v>
      </c>
      <c r="D12" s="13">
        <v>3583</v>
      </c>
      <c r="E12" s="18">
        <v>146540</v>
      </c>
    </row>
    <row r="13" spans="1:5" ht="15.75" customHeight="1">
      <c r="A13" s="11">
        <v>2</v>
      </c>
      <c r="B13" s="37" t="s">
        <v>867</v>
      </c>
      <c r="C13" s="13" t="s">
        <v>472</v>
      </c>
      <c r="D13" s="75">
        <v>8167</v>
      </c>
      <c r="E13" s="18">
        <v>21850</v>
      </c>
    </row>
    <row r="14" spans="1:5" ht="15.75" customHeight="1">
      <c r="A14" s="11">
        <v>3</v>
      </c>
      <c r="B14" s="12" t="s">
        <v>868</v>
      </c>
      <c r="C14" s="13" t="s">
        <v>334</v>
      </c>
      <c r="D14" s="13">
        <v>111569732</v>
      </c>
      <c r="E14" s="18">
        <v>15095</v>
      </c>
    </row>
    <row r="15" spans="1:5" ht="15.75" customHeight="1">
      <c r="A15" s="11">
        <v>4</v>
      </c>
      <c r="B15" s="17" t="s">
        <v>869</v>
      </c>
      <c r="C15" s="78" t="s">
        <v>870</v>
      </c>
      <c r="D15" s="50">
        <v>9610</v>
      </c>
      <c r="E15" s="18"/>
    </row>
    <row r="16" spans="1:5" ht="15.75" customHeight="1">
      <c r="A16" s="11">
        <v>5</v>
      </c>
      <c r="B16" s="92" t="s">
        <v>871</v>
      </c>
      <c r="C16" s="78" t="s">
        <v>209</v>
      </c>
      <c r="D16" s="78">
        <v>2037</v>
      </c>
      <c r="E16" s="14">
        <v>155250</v>
      </c>
    </row>
    <row r="17" spans="1:5" ht="15.75" customHeight="1">
      <c r="A17" s="11">
        <v>6</v>
      </c>
      <c r="B17" s="12" t="s">
        <v>872</v>
      </c>
      <c r="C17" s="78" t="s">
        <v>45</v>
      </c>
      <c r="D17" s="13" t="s">
        <v>873</v>
      </c>
      <c r="E17" s="14">
        <v>41724</v>
      </c>
    </row>
    <row r="18" spans="1:5" ht="15.75" customHeight="1">
      <c r="A18" s="11">
        <v>7</v>
      </c>
      <c r="B18" s="12" t="s">
        <v>874</v>
      </c>
      <c r="C18" s="13" t="s">
        <v>269</v>
      </c>
      <c r="D18" s="13">
        <v>6431</v>
      </c>
      <c r="E18" s="19">
        <v>49000</v>
      </c>
    </row>
    <row r="19" spans="1:5" ht="15.75" customHeight="1">
      <c r="A19" s="11">
        <v>8</v>
      </c>
      <c r="B19" s="24" t="s">
        <v>875</v>
      </c>
      <c r="C19" s="78" t="s">
        <v>209</v>
      </c>
      <c r="D19" s="78">
        <v>2063</v>
      </c>
      <c r="E19" s="79">
        <v>101250</v>
      </c>
    </row>
    <row r="20" spans="1:5" ht="15.75" customHeight="1">
      <c r="A20" s="11">
        <v>9</v>
      </c>
      <c r="B20" s="12" t="s">
        <v>876</v>
      </c>
      <c r="C20" s="13" t="s">
        <v>877</v>
      </c>
      <c r="D20" s="75">
        <v>1036</v>
      </c>
      <c r="E20" s="18">
        <v>12300</v>
      </c>
    </row>
    <row r="21" spans="1:5" ht="15.75" customHeight="1">
      <c r="A21" s="11">
        <v>10</v>
      </c>
      <c r="B21" s="12" t="s">
        <v>878</v>
      </c>
      <c r="C21" s="13" t="s">
        <v>56</v>
      </c>
      <c r="D21" s="13">
        <v>525</v>
      </c>
      <c r="E21" s="14">
        <v>31250</v>
      </c>
    </row>
    <row r="22" spans="1:5" ht="15.75" customHeight="1">
      <c r="A22" s="11">
        <v>11</v>
      </c>
      <c r="B22" s="80" t="s">
        <v>879</v>
      </c>
      <c r="C22" s="78" t="s">
        <v>15</v>
      </c>
      <c r="D22" s="78" t="s">
        <v>880</v>
      </c>
      <c r="E22" s="14">
        <v>158093.20000000001</v>
      </c>
    </row>
    <row r="23" spans="1:5" ht="15.75" customHeight="1">
      <c r="A23" s="11">
        <v>12</v>
      </c>
      <c r="B23" s="17" t="s">
        <v>881</v>
      </c>
      <c r="C23" s="13" t="s">
        <v>882</v>
      </c>
      <c r="D23" s="13">
        <v>3692</v>
      </c>
      <c r="E23" s="18">
        <v>318600</v>
      </c>
    </row>
    <row r="24" spans="1:5" ht="15.75" customHeight="1">
      <c r="A24" s="11">
        <v>13</v>
      </c>
      <c r="B24" s="17" t="s">
        <v>918</v>
      </c>
      <c r="C24" s="78" t="s">
        <v>919</v>
      </c>
      <c r="D24" s="50" t="s">
        <v>920</v>
      </c>
      <c r="E24" s="18"/>
    </row>
    <row r="25" spans="1:5" ht="15.75" customHeight="1">
      <c r="A25" s="11">
        <v>14</v>
      </c>
      <c r="B25" s="12" t="s">
        <v>884</v>
      </c>
      <c r="C25" s="13" t="s">
        <v>16</v>
      </c>
      <c r="D25" s="13">
        <v>536</v>
      </c>
      <c r="E25" s="14">
        <v>10568</v>
      </c>
    </row>
    <row r="26" spans="1:5" ht="15.75" customHeight="1">
      <c r="A26" s="11">
        <v>15</v>
      </c>
      <c r="B26" s="24" t="s">
        <v>885</v>
      </c>
      <c r="C26" s="50" t="s">
        <v>886</v>
      </c>
      <c r="D26" s="50" t="s">
        <v>887</v>
      </c>
      <c r="E26" s="14">
        <v>15120</v>
      </c>
    </row>
    <row r="27" spans="1:5" ht="15.75" customHeight="1">
      <c r="A27" s="11">
        <v>16</v>
      </c>
      <c r="B27" s="24" t="s">
        <v>888</v>
      </c>
      <c r="C27" s="13" t="s">
        <v>870</v>
      </c>
      <c r="D27" s="50">
        <v>32241</v>
      </c>
      <c r="E27" s="14">
        <v>70200</v>
      </c>
    </row>
    <row r="28" spans="1:5" ht="15.75" customHeight="1">
      <c r="A28" s="11">
        <v>17</v>
      </c>
      <c r="B28" s="24" t="s">
        <v>889</v>
      </c>
      <c r="C28" s="78" t="s">
        <v>890</v>
      </c>
      <c r="D28" s="78" t="s">
        <v>891</v>
      </c>
      <c r="E28" s="14">
        <v>22750</v>
      </c>
    </row>
    <row r="29" spans="1:5" ht="15.75" customHeight="1">
      <c r="A29" s="11">
        <v>18</v>
      </c>
      <c r="B29" s="17" t="s">
        <v>892</v>
      </c>
      <c r="C29" s="50" t="s">
        <v>893</v>
      </c>
      <c r="D29" s="50" t="s">
        <v>894</v>
      </c>
      <c r="E29" s="18">
        <v>21840</v>
      </c>
    </row>
    <row r="30" spans="1:5" ht="15.75" customHeight="1">
      <c r="A30" s="11">
        <v>19</v>
      </c>
      <c r="B30" s="92" t="s">
        <v>895</v>
      </c>
      <c r="C30" s="78" t="s">
        <v>896</v>
      </c>
      <c r="D30" s="50">
        <v>68</v>
      </c>
      <c r="E30" s="18">
        <v>288000</v>
      </c>
    </row>
    <row r="31" spans="1:5" ht="15.75" customHeight="1">
      <c r="A31" s="11">
        <v>20</v>
      </c>
      <c r="B31" s="17" t="s">
        <v>897</v>
      </c>
      <c r="C31" s="13" t="s">
        <v>898</v>
      </c>
      <c r="D31" s="50" t="s">
        <v>899</v>
      </c>
      <c r="E31" s="18">
        <v>142100</v>
      </c>
    </row>
    <row r="32" spans="1:5" ht="15.75" customHeight="1">
      <c r="A32" s="11">
        <v>21</v>
      </c>
      <c r="B32" s="17" t="s">
        <v>900</v>
      </c>
      <c r="C32" s="13" t="s">
        <v>898</v>
      </c>
      <c r="D32" s="50" t="s">
        <v>901</v>
      </c>
      <c r="E32" s="18">
        <v>140880</v>
      </c>
    </row>
    <row r="33" spans="1:5" ht="15.75" customHeight="1">
      <c r="A33" s="11">
        <v>22</v>
      </c>
      <c r="B33" s="17" t="s">
        <v>902</v>
      </c>
      <c r="C33" s="13" t="s">
        <v>355</v>
      </c>
      <c r="D33" s="50">
        <v>1541</v>
      </c>
      <c r="E33" s="18">
        <v>69560</v>
      </c>
    </row>
    <row r="34" spans="1:5" ht="15.75" customHeight="1">
      <c r="A34" s="11">
        <v>23</v>
      </c>
      <c r="B34" s="17" t="s">
        <v>9</v>
      </c>
      <c r="C34" s="13" t="s">
        <v>921</v>
      </c>
      <c r="D34" s="50">
        <v>68</v>
      </c>
      <c r="E34" s="18">
        <v>288000</v>
      </c>
    </row>
    <row r="35" spans="1:5" ht="15.75" customHeight="1">
      <c r="A35" s="11">
        <v>24</v>
      </c>
      <c r="B35" s="17" t="s">
        <v>904</v>
      </c>
      <c r="C35" s="13" t="s">
        <v>826</v>
      </c>
      <c r="D35" s="50">
        <v>19712</v>
      </c>
      <c r="E35" s="18">
        <v>28762.22</v>
      </c>
    </row>
    <row r="36" spans="1:5" ht="15.75" customHeight="1">
      <c r="A36" s="11">
        <v>25</v>
      </c>
      <c r="B36" s="17" t="s">
        <v>905</v>
      </c>
      <c r="C36" s="13" t="s">
        <v>906</v>
      </c>
      <c r="D36" s="50">
        <v>303823</v>
      </c>
      <c r="E36" s="18">
        <v>9952</v>
      </c>
    </row>
    <row r="37" spans="1:5" ht="15.75" customHeight="1">
      <c r="A37" s="11">
        <v>26</v>
      </c>
      <c r="B37" s="17" t="s">
        <v>907</v>
      </c>
      <c r="C37" s="78" t="s">
        <v>15</v>
      </c>
      <c r="D37" s="50" t="s">
        <v>908</v>
      </c>
      <c r="E37" s="18">
        <v>107952.94</v>
      </c>
    </row>
    <row r="38" spans="1:5" ht="15.75" customHeight="1">
      <c r="A38" s="11">
        <v>27</v>
      </c>
      <c r="B38" s="17" t="s">
        <v>909</v>
      </c>
      <c r="C38" s="78" t="s">
        <v>910</v>
      </c>
      <c r="D38" s="50" t="s">
        <v>911</v>
      </c>
      <c r="E38" s="18">
        <v>9670</v>
      </c>
    </row>
    <row r="39" spans="1:5" ht="15.75" customHeight="1">
      <c r="A39" s="11">
        <v>28</v>
      </c>
      <c r="B39" s="17" t="s">
        <v>912</v>
      </c>
      <c r="C39" s="78" t="s">
        <v>269</v>
      </c>
      <c r="D39" s="50">
        <v>6858</v>
      </c>
      <c r="E39" s="18">
        <v>57600</v>
      </c>
    </row>
    <row r="40" spans="1:5" ht="15.75" customHeight="1">
      <c r="A40" s="11">
        <v>29</v>
      </c>
      <c r="B40" s="17" t="s">
        <v>913</v>
      </c>
      <c r="C40" s="78" t="s">
        <v>16</v>
      </c>
      <c r="D40" s="50">
        <v>564</v>
      </c>
      <c r="E40" s="18">
        <v>13103</v>
      </c>
    </row>
    <row r="41" spans="1:5" ht="15.75" customHeight="1">
      <c r="A41" s="11">
        <v>30</v>
      </c>
      <c r="B41" s="17" t="s">
        <v>914</v>
      </c>
      <c r="C41" s="78" t="s">
        <v>915</v>
      </c>
      <c r="D41" s="50">
        <v>201</v>
      </c>
      <c r="E41" s="18">
        <v>35300</v>
      </c>
    </row>
    <row r="42" spans="1:5" ht="15.75" customHeight="1">
      <c r="A42" s="11">
        <v>31</v>
      </c>
      <c r="B42" s="17" t="s">
        <v>922</v>
      </c>
      <c r="C42" s="78" t="s">
        <v>923</v>
      </c>
      <c r="D42" s="50">
        <v>516</v>
      </c>
      <c r="E42" s="18">
        <v>311321.5</v>
      </c>
    </row>
    <row r="43" spans="1:5" ht="15.75" customHeight="1">
      <c r="A43" s="8" t="s">
        <v>24</v>
      </c>
      <c r="B43" s="203"/>
      <c r="C43" s="204"/>
      <c r="D43" s="205"/>
      <c r="E43" s="49">
        <f>SUM(E12:E42)</f>
        <v>2693631.8600000003</v>
      </c>
    </row>
    <row r="44" spans="1:5" ht="15.75" customHeight="1">
      <c r="A44" s="198"/>
      <c r="B44" s="196"/>
      <c r="C44" s="196"/>
      <c r="D44" s="196"/>
      <c r="E44" s="196"/>
    </row>
    <row r="45" spans="1:5" ht="15.75" customHeight="1">
      <c r="A45" s="198" t="s">
        <v>924</v>
      </c>
      <c r="B45" s="196"/>
      <c r="C45" s="196"/>
      <c r="D45" s="196"/>
      <c r="E45" s="27">
        <f>E43*8%</f>
        <v>215490.54880000002</v>
      </c>
    </row>
    <row r="46" spans="1:5" ht="14.25" customHeight="1">
      <c r="A46" s="198" t="s">
        <v>25</v>
      </c>
      <c r="B46" s="196"/>
      <c r="C46" s="196"/>
      <c r="D46" s="196"/>
      <c r="E46" s="196"/>
    </row>
    <row r="47" spans="1:5" ht="35.25" customHeight="1">
      <c r="A47" s="198"/>
      <c r="B47" s="196"/>
      <c r="C47" s="196"/>
      <c r="D47" s="196"/>
      <c r="E47" s="196"/>
    </row>
    <row r="48" spans="1:5" ht="15.75" customHeight="1">
      <c r="A48" s="198" t="s">
        <v>26</v>
      </c>
      <c r="B48" s="196"/>
      <c r="C48" s="196"/>
      <c r="D48" s="196"/>
      <c r="E48" s="196"/>
    </row>
    <row r="49" spans="1:5" ht="15.75" customHeight="1">
      <c r="A49" s="198" t="s">
        <v>27</v>
      </c>
      <c r="B49" s="196"/>
      <c r="C49" s="196"/>
      <c r="D49" s="196"/>
      <c r="E49" s="196"/>
    </row>
    <row r="50" spans="1:5" ht="15.75" customHeight="1">
      <c r="A50" s="198" t="s">
        <v>28</v>
      </c>
      <c r="B50" s="196"/>
      <c r="C50" s="196"/>
      <c r="D50" s="196"/>
      <c r="E50" s="196"/>
    </row>
  </sheetData>
  <mergeCells count="18">
    <mergeCell ref="A50:E50"/>
    <mergeCell ref="A8:E8"/>
    <mergeCell ref="A9:E9"/>
    <mergeCell ref="A10:E10"/>
    <mergeCell ref="B43:D43"/>
    <mergeCell ref="A44:E44"/>
    <mergeCell ref="A45:D45"/>
    <mergeCell ref="A46:E46"/>
    <mergeCell ref="A6:E6"/>
    <mergeCell ref="A7:E7"/>
    <mergeCell ref="A47:E47"/>
    <mergeCell ref="A48:E48"/>
    <mergeCell ref="A49:E49"/>
    <mergeCell ref="A1:E1"/>
    <mergeCell ref="A2:E2"/>
    <mergeCell ref="A3:E3"/>
    <mergeCell ref="A4:E4"/>
    <mergeCell ref="A5:E5"/>
  </mergeCells>
  <conditionalFormatting sqref="E12:E42">
    <cfRule type="notContainsBlanks" dxfId="70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  <pageSetUpPr fitToPage="1"/>
  </sheetPr>
  <dimension ref="A1:E58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925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57">
        <v>1</v>
      </c>
      <c r="B12" s="93" t="s">
        <v>926</v>
      </c>
      <c r="C12" s="94" t="s">
        <v>334</v>
      </c>
      <c r="D12" s="94">
        <v>112278513</v>
      </c>
      <c r="E12" s="59">
        <v>5500</v>
      </c>
    </row>
    <row r="13" spans="1:5" ht="15.75" customHeight="1">
      <c r="A13" s="82">
        <v>2</v>
      </c>
      <c r="B13" s="95" t="s">
        <v>927</v>
      </c>
      <c r="C13" s="84" t="s">
        <v>928</v>
      </c>
      <c r="D13" s="96">
        <v>696</v>
      </c>
      <c r="E13" s="59">
        <v>50238</v>
      </c>
    </row>
    <row r="14" spans="1:5" ht="15.75" customHeight="1">
      <c r="A14" s="82">
        <v>3</v>
      </c>
      <c r="B14" s="95" t="s">
        <v>929</v>
      </c>
      <c r="C14" s="84" t="s">
        <v>269</v>
      </c>
      <c r="D14" s="96">
        <v>6925</v>
      </c>
      <c r="E14" s="59">
        <v>17700</v>
      </c>
    </row>
    <row r="15" spans="1:5" ht="15.75" customHeight="1">
      <c r="A15" s="82">
        <v>4</v>
      </c>
      <c r="B15" s="95" t="s">
        <v>930</v>
      </c>
      <c r="C15" s="84" t="s">
        <v>209</v>
      </c>
      <c r="D15" s="96">
        <v>2260.2298999999998</v>
      </c>
      <c r="E15" s="59">
        <v>273340</v>
      </c>
    </row>
    <row r="16" spans="1:5" ht="15.75" customHeight="1">
      <c r="A16" s="82">
        <v>5</v>
      </c>
      <c r="B16" s="95" t="s">
        <v>931</v>
      </c>
      <c r="C16" s="84" t="s">
        <v>932</v>
      </c>
      <c r="D16" s="96" t="s">
        <v>933</v>
      </c>
      <c r="E16" s="59">
        <v>132775</v>
      </c>
    </row>
    <row r="17" spans="1:5" ht="15.75" customHeight="1">
      <c r="A17" s="82">
        <v>6</v>
      </c>
      <c r="B17" s="95" t="s">
        <v>934</v>
      </c>
      <c r="C17" s="84" t="s">
        <v>935</v>
      </c>
      <c r="D17" s="96">
        <v>5973</v>
      </c>
      <c r="E17" s="59">
        <v>9800</v>
      </c>
    </row>
    <row r="18" spans="1:5" ht="15.75" customHeight="1">
      <c r="A18" s="82">
        <v>7</v>
      </c>
      <c r="B18" s="95" t="s">
        <v>936</v>
      </c>
      <c r="C18" s="84" t="s">
        <v>937</v>
      </c>
      <c r="D18" s="96">
        <v>1029</v>
      </c>
      <c r="E18" s="59">
        <v>57500</v>
      </c>
    </row>
    <row r="19" spans="1:5" ht="15.75" customHeight="1">
      <c r="A19" s="82">
        <v>8</v>
      </c>
      <c r="B19" s="95" t="s">
        <v>938</v>
      </c>
      <c r="C19" s="84" t="s">
        <v>329</v>
      </c>
      <c r="D19" s="84" t="s">
        <v>939</v>
      </c>
      <c r="E19" s="59">
        <v>5571.07</v>
      </c>
    </row>
    <row r="20" spans="1:5" ht="15.75" customHeight="1">
      <c r="A20" s="82">
        <v>9</v>
      </c>
      <c r="B20" s="95" t="s">
        <v>940</v>
      </c>
      <c r="C20" s="84" t="s">
        <v>882</v>
      </c>
      <c r="D20" s="84">
        <v>3071</v>
      </c>
      <c r="E20" s="59">
        <v>933284</v>
      </c>
    </row>
    <row r="21" spans="1:5" ht="15.75" customHeight="1">
      <c r="A21" s="82">
        <v>10</v>
      </c>
      <c r="B21" s="95" t="s">
        <v>941</v>
      </c>
      <c r="C21" s="84" t="s">
        <v>334</v>
      </c>
      <c r="D21" s="84">
        <v>113319903</v>
      </c>
      <c r="E21" s="59">
        <v>28655</v>
      </c>
    </row>
    <row r="22" spans="1:5" ht="15.75" customHeight="1">
      <c r="A22" s="82">
        <v>11</v>
      </c>
      <c r="B22" s="97" t="s">
        <v>942</v>
      </c>
      <c r="C22" s="84" t="s">
        <v>935</v>
      </c>
      <c r="D22" s="84">
        <v>5481</v>
      </c>
      <c r="E22" s="59">
        <v>48400</v>
      </c>
    </row>
    <row r="23" spans="1:5" ht="15.75" customHeight="1">
      <c r="A23" s="82">
        <v>12</v>
      </c>
      <c r="B23" s="95" t="s">
        <v>943</v>
      </c>
      <c r="C23" s="84" t="s">
        <v>944</v>
      </c>
      <c r="D23" s="84">
        <v>4233</v>
      </c>
      <c r="E23" s="59">
        <v>48950</v>
      </c>
    </row>
    <row r="24" spans="1:5" ht="15.75" customHeight="1">
      <c r="A24" s="82">
        <v>13</v>
      </c>
      <c r="B24" s="95" t="s">
        <v>945</v>
      </c>
      <c r="C24" s="84" t="s">
        <v>334</v>
      </c>
      <c r="D24" s="84">
        <v>113433535</v>
      </c>
      <c r="E24" s="59">
        <v>19100</v>
      </c>
    </row>
    <row r="25" spans="1:5" ht="15.75" customHeight="1">
      <c r="A25" s="82">
        <v>14</v>
      </c>
      <c r="B25" s="95" t="s">
        <v>946</v>
      </c>
      <c r="C25" s="84" t="s">
        <v>935</v>
      </c>
      <c r="D25" s="84">
        <v>5498</v>
      </c>
      <c r="E25" s="59">
        <v>46810</v>
      </c>
    </row>
    <row r="26" spans="1:5" ht="15.75" customHeight="1">
      <c r="A26" s="82">
        <v>15</v>
      </c>
      <c r="B26" s="95" t="s">
        <v>947</v>
      </c>
      <c r="C26" s="84" t="s">
        <v>56</v>
      </c>
      <c r="D26" s="96">
        <v>603</v>
      </c>
      <c r="E26" s="59">
        <v>12384</v>
      </c>
    </row>
    <row r="27" spans="1:5" ht="15.75" customHeight="1">
      <c r="A27" s="82">
        <v>16</v>
      </c>
      <c r="B27" s="95" t="s">
        <v>948</v>
      </c>
      <c r="C27" s="84" t="s">
        <v>334</v>
      </c>
      <c r="D27" s="84">
        <v>113722132</v>
      </c>
      <c r="E27" s="59">
        <v>960</v>
      </c>
    </row>
    <row r="28" spans="1:5" ht="15.75" customHeight="1">
      <c r="A28" s="82">
        <v>17</v>
      </c>
      <c r="B28" s="95" t="s">
        <v>949</v>
      </c>
      <c r="C28" s="96" t="s">
        <v>950</v>
      </c>
      <c r="D28" s="96" t="s">
        <v>951</v>
      </c>
      <c r="E28" s="59">
        <v>97793.600000000006</v>
      </c>
    </row>
    <row r="29" spans="1:5" ht="15.75" customHeight="1">
      <c r="A29" s="82">
        <v>18</v>
      </c>
      <c r="B29" s="61" t="s">
        <v>952</v>
      </c>
      <c r="C29" s="82" t="s">
        <v>882</v>
      </c>
      <c r="D29" s="96">
        <v>4063</v>
      </c>
      <c r="E29" s="59">
        <v>28604</v>
      </c>
    </row>
    <row r="30" spans="1:5" ht="15.75" customHeight="1">
      <c r="A30" s="82">
        <v>19</v>
      </c>
      <c r="B30" s="93" t="s">
        <v>953</v>
      </c>
      <c r="C30" s="84" t="s">
        <v>309</v>
      </c>
      <c r="D30" s="96" t="s">
        <v>954</v>
      </c>
      <c r="E30" s="59">
        <v>31835.42</v>
      </c>
    </row>
    <row r="31" spans="1:5" ht="15.75" customHeight="1">
      <c r="A31" s="82">
        <v>20</v>
      </c>
      <c r="B31" s="95" t="s">
        <v>955</v>
      </c>
      <c r="C31" s="84" t="s">
        <v>16</v>
      </c>
      <c r="D31" s="96">
        <v>579</v>
      </c>
      <c r="E31" s="59">
        <v>225932</v>
      </c>
    </row>
    <row r="32" spans="1:5" ht="15.75" customHeight="1">
      <c r="A32" s="82">
        <v>21</v>
      </c>
      <c r="B32" s="95" t="s">
        <v>956</v>
      </c>
      <c r="C32" s="84" t="s">
        <v>957</v>
      </c>
      <c r="D32" s="96">
        <v>46</v>
      </c>
      <c r="E32" s="59">
        <v>319000</v>
      </c>
    </row>
    <row r="33" spans="1:5" ht="15.75" customHeight="1">
      <c r="A33" s="82">
        <v>22</v>
      </c>
      <c r="B33" s="95" t="s">
        <v>958</v>
      </c>
      <c r="C33" s="84" t="s">
        <v>14</v>
      </c>
      <c r="D33" s="96" t="s">
        <v>959</v>
      </c>
      <c r="E33" s="59">
        <v>91200</v>
      </c>
    </row>
    <row r="34" spans="1:5" ht="15.75" customHeight="1">
      <c r="A34" s="82">
        <v>23</v>
      </c>
      <c r="B34" s="95" t="s">
        <v>960</v>
      </c>
      <c r="C34" s="84" t="s">
        <v>16</v>
      </c>
      <c r="D34" s="96">
        <v>580</v>
      </c>
      <c r="E34" s="59">
        <v>4716</v>
      </c>
    </row>
    <row r="35" spans="1:5" ht="15.75" customHeight="1">
      <c r="A35" s="82">
        <v>24</v>
      </c>
      <c r="B35" s="95" t="s">
        <v>961</v>
      </c>
      <c r="C35" s="84" t="s">
        <v>962</v>
      </c>
      <c r="D35" s="96">
        <v>32</v>
      </c>
      <c r="E35" s="59">
        <v>21000</v>
      </c>
    </row>
    <row r="36" spans="1:5" ht="15.75" customHeight="1">
      <c r="A36" s="82">
        <v>25</v>
      </c>
      <c r="B36" s="95" t="s">
        <v>963</v>
      </c>
      <c r="C36" s="84" t="s">
        <v>783</v>
      </c>
      <c r="D36" s="96" t="s">
        <v>964</v>
      </c>
      <c r="E36" s="59">
        <v>5250</v>
      </c>
    </row>
    <row r="37" spans="1:5" ht="15.75" customHeight="1">
      <c r="A37" s="82">
        <v>26</v>
      </c>
      <c r="B37" s="95" t="s">
        <v>949</v>
      </c>
      <c r="C37" s="84" t="s">
        <v>783</v>
      </c>
      <c r="D37" s="96" t="s">
        <v>965</v>
      </c>
      <c r="E37" s="59">
        <v>10980</v>
      </c>
    </row>
    <row r="38" spans="1:5" ht="15.75" customHeight="1">
      <c r="A38" s="82">
        <v>27</v>
      </c>
      <c r="B38" s="95" t="s">
        <v>966</v>
      </c>
      <c r="C38" s="84" t="s">
        <v>823</v>
      </c>
      <c r="D38" s="96">
        <v>4897</v>
      </c>
      <c r="E38" s="59">
        <v>47461</v>
      </c>
    </row>
    <row r="39" spans="1:5" ht="15.75" customHeight="1">
      <c r="A39" s="82">
        <v>28</v>
      </c>
      <c r="B39" s="95" t="s">
        <v>967</v>
      </c>
      <c r="C39" s="84" t="s">
        <v>334</v>
      </c>
      <c r="D39" s="96">
        <v>114993186</v>
      </c>
      <c r="E39" s="59">
        <v>9800</v>
      </c>
    </row>
    <row r="40" spans="1:5" ht="15.75" customHeight="1">
      <c r="A40" s="82">
        <v>29</v>
      </c>
      <c r="B40" s="95" t="s">
        <v>968</v>
      </c>
      <c r="C40" s="84" t="s">
        <v>269</v>
      </c>
      <c r="D40" s="96">
        <v>7355</v>
      </c>
      <c r="E40" s="59">
        <v>87000</v>
      </c>
    </row>
    <row r="41" spans="1:5" ht="15.75" customHeight="1">
      <c r="A41" s="82">
        <v>30</v>
      </c>
      <c r="B41" s="95" t="s">
        <v>969</v>
      </c>
      <c r="C41" s="84" t="s">
        <v>826</v>
      </c>
      <c r="D41" s="96">
        <v>21482</v>
      </c>
      <c r="E41" s="59">
        <v>18542.59</v>
      </c>
    </row>
    <row r="42" spans="1:5" ht="15.75" customHeight="1">
      <c r="A42" s="82">
        <v>31</v>
      </c>
      <c r="B42" s="95" t="s">
        <v>970</v>
      </c>
      <c r="C42" s="84" t="s">
        <v>334</v>
      </c>
      <c r="D42" s="96">
        <v>15077270</v>
      </c>
      <c r="E42" s="59">
        <v>5800</v>
      </c>
    </row>
    <row r="43" spans="1:5" ht="15.75" customHeight="1">
      <c r="A43" s="82">
        <v>32</v>
      </c>
      <c r="B43" s="95" t="s">
        <v>971</v>
      </c>
      <c r="C43" s="84" t="s">
        <v>16</v>
      </c>
      <c r="D43" s="96">
        <v>587</v>
      </c>
      <c r="E43" s="59">
        <v>1572</v>
      </c>
    </row>
    <row r="44" spans="1:5" ht="15.75" customHeight="1">
      <c r="A44" s="82">
        <v>33</v>
      </c>
      <c r="B44" s="95" t="s">
        <v>972</v>
      </c>
      <c r="C44" s="84" t="s">
        <v>15</v>
      </c>
      <c r="D44" s="96" t="s">
        <v>973</v>
      </c>
      <c r="E44" s="59">
        <v>59761.74</v>
      </c>
    </row>
    <row r="45" spans="1:5" ht="15.75" customHeight="1">
      <c r="A45" s="82">
        <v>34</v>
      </c>
      <c r="B45" s="95" t="s">
        <v>974</v>
      </c>
      <c r="C45" s="84" t="s">
        <v>81</v>
      </c>
      <c r="D45" s="96" t="s">
        <v>975</v>
      </c>
      <c r="E45" s="59">
        <v>2345</v>
      </c>
    </row>
    <row r="46" spans="1:5" ht="15.75" customHeight="1">
      <c r="A46" s="82">
        <v>35</v>
      </c>
      <c r="B46" s="95" t="s">
        <v>976</v>
      </c>
      <c r="C46" s="84" t="s">
        <v>56</v>
      </c>
      <c r="D46" s="96">
        <v>605</v>
      </c>
      <c r="E46" s="59">
        <v>16980</v>
      </c>
    </row>
    <row r="47" spans="1:5" ht="15.75" customHeight="1">
      <c r="A47" s="82">
        <v>36</v>
      </c>
      <c r="B47" s="95" t="s">
        <v>977</v>
      </c>
      <c r="C47" s="84" t="s">
        <v>218</v>
      </c>
      <c r="D47" s="96">
        <v>819</v>
      </c>
      <c r="E47" s="59">
        <v>276000</v>
      </c>
    </row>
    <row r="48" spans="1:5" ht="15.75" customHeight="1">
      <c r="A48" s="82">
        <v>37</v>
      </c>
      <c r="B48" s="95" t="s">
        <v>978</v>
      </c>
      <c r="C48" s="84" t="s">
        <v>979</v>
      </c>
      <c r="D48" s="96">
        <v>2</v>
      </c>
      <c r="E48" s="59">
        <v>55500</v>
      </c>
    </row>
    <row r="49" spans="1:5" ht="15.75" customHeight="1">
      <c r="A49" s="82">
        <v>38</v>
      </c>
      <c r="B49" s="95" t="s">
        <v>980</v>
      </c>
      <c r="C49" s="84" t="s">
        <v>981</v>
      </c>
      <c r="D49" s="96">
        <v>16</v>
      </c>
      <c r="E49" s="59">
        <v>971200</v>
      </c>
    </row>
    <row r="50" spans="1:5" ht="15.75" customHeight="1">
      <c r="A50" s="82">
        <v>39</v>
      </c>
      <c r="B50" s="95" t="s">
        <v>982</v>
      </c>
      <c r="C50" s="84" t="s">
        <v>983</v>
      </c>
      <c r="D50" s="96" t="s">
        <v>984</v>
      </c>
      <c r="E50" s="59">
        <v>4699000</v>
      </c>
    </row>
    <row r="51" spans="1:5" ht="15.75" customHeight="1">
      <c r="A51" s="8" t="s">
        <v>24</v>
      </c>
      <c r="B51" s="203"/>
      <c r="C51" s="204"/>
      <c r="D51" s="205"/>
      <c r="E51" s="49">
        <f>SUM(E12:E50)</f>
        <v>8778240.4199999999</v>
      </c>
    </row>
    <row r="52" spans="1:5" ht="15.75" customHeight="1">
      <c r="A52" s="198"/>
      <c r="B52" s="196"/>
      <c r="C52" s="196"/>
      <c r="D52" s="196"/>
      <c r="E52" s="196"/>
    </row>
    <row r="53" spans="1:5" ht="15.75" customHeight="1">
      <c r="A53" s="198" t="s">
        <v>985</v>
      </c>
      <c r="B53" s="196"/>
      <c r="C53" s="196"/>
      <c r="D53" s="196"/>
      <c r="E53" s="27">
        <f>IF(E51&gt;=10000000,5000000*2%+5000000*1%+(E51-10000000)*0.5%,IF(E51&gt;=5000000,5000000*2%+(E51-5000000)*1%,E51*2%))</f>
        <v>137782.40419999999</v>
      </c>
    </row>
    <row r="54" spans="1:5" ht="14.25" customHeight="1">
      <c r="A54" s="198" t="s">
        <v>25</v>
      </c>
      <c r="B54" s="196"/>
      <c r="C54" s="196"/>
      <c r="D54" s="196"/>
      <c r="E54" s="196"/>
    </row>
    <row r="55" spans="1:5" ht="35.25" customHeight="1">
      <c r="A55" s="198"/>
      <c r="B55" s="196"/>
      <c r="C55" s="196"/>
      <c r="D55" s="196"/>
      <c r="E55" s="196"/>
    </row>
    <row r="56" spans="1:5" ht="15.75" customHeight="1">
      <c r="A56" s="198" t="s">
        <v>26</v>
      </c>
      <c r="B56" s="196"/>
      <c r="C56" s="196"/>
      <c r="D56" s="196"/>
      <c r="E56" s="196"/>
    </row>
    <row r="57" spans="1:5" ht="15.75" customHeight="1">
      <c r="A57" s="198" t="s">
        <v>27</v>
      </c>
      <c r="B57" s="196"/>
      <c r="C57" s="196"/>
      <c r="D57" s="196"/>
      <c r="E57" s="196"/>
    </row>
    <row r="58" spans="1:5" ht="15.75" customHeight="1">
      <c r="A58" s="198" t="s">
        <v>28</v>
      </c>
      <c r="B58" s="196"/>
      <c r="C58" s="196"/>
      <c r="D58" s="196"/>
      <c r="E58" s="196"/>
    </row>
  </sheetData>
  <mergeCells count="18">
    <mergeCell ref="A58:E58"/>
    <mergeCell ref="A8:E8"/>
    <mergeCell ref="A9:E9"/>
    <mergeCell ref="A10:E10"/>
    <mergeCell ref="B51:D51"/>
    <mergeCell ref="A52:E52"/>
    <mergeCell ref="A53:D53"/>
    <mergeCell ref="A54:E54"/>
    <mergeCell ref="A6:E6"/>
    <mergeCell ref="A7:E7"/>
    <mergeCell ref="A55:E55"/>
    <mergeCell ref="A56:E56"/>
    <mergeCell ref="A57:E57"/>
    <mergeCell ref="A1:E1"/>
    <mergeCell ref="A2:E2"/>
    <mergeCell ref="A3:E3"/>
    <mergeCell ref="A4:E4"/>
    <mergeCell ref="A5:E5"/>
  </mergeCells>
  <conditionalFormatting sqref="E12:E50">
    <cfRule type="notContainsBlanks" dxfId="69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  <pageSetUpPr fitToPage="1"/>
  </sheetPr>
  <dimension ref="A1:E60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986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">
        <v>1</v>
      </c>
      <c r="B12" s="12" t="s">
        <v>926</v>
      </c>
      <c r="C12" s="13" t="s">
        <v>334</v>
      </c>
      <c r="D12" s="13">
        <v>112278513</v>
      </c>
      <c r="E12" s="18">
        <v>5500</v>
      </c>
    </row>
    <row r="13" spans="1:5" ht="15.75" customHeight="1">
      <c r="A13" s="11">
        <v>2</v>
      </c>
      <c r="B13" s="17" t="s">
        <v>927</v>
      </c>
      <c r="C13" s="13" t="s">
        <v>928</v>
      </c>
      <c r="D13" s="98">
        <v>696</v>
      </c>
      <c r="E13" s="18">
        <v>50238</v>
      </c>
    </row>
    <row r="14" spans="1:5" ht="15.75" customHeight="1">
      <c r="A14" s="11">
        <v>3</v>
      </c>
      <c r="B14" s="17" t="s">
        <v>929</v>
      </c>
      <c r="C14" s="78" t="s">
        <v>269</v>
      </c>
      <c r="D14" s="98">
        <v>6925</v>
      </c>
      <c r="E14" s="18">
        <v>17700</v>
      </c>
    </row>
    <row r="15" spans="1:5" ht="15.75" customHeight="1">
      <c r="A15" s="11">
        <v>4</v>
      </c>
      <c r="B15" s="17" t="s">
        <v>930</v>
      </c>
      <c r="C15" s="78" t="s">
        <v>209</v>
      </c>
      <c r="D15" s="98">
        <v>2173</v>
      </c>
      <c r="E15" s="18">
        <v>273240</v>
      </c>
    </row>
    <row r="16" spans="1:5" ht="15.75" customHeight="1">
      <c r="A16" s="11">
        <v>5</v>
      </c>
      <c r="B16" s="17" t="s">
        <v>931</v>
      </c>
      <c r="C16" s="78" t="s">
        <v>987</v>
      </c>
      <c r="D16" s="98" t="s">
        <v>933</v>
      </c>
      <c r="E16" s="18">
        <v>132775</v>
      </c>
    </row>
    <row r="17" spans="1:5" ht="15.75" customHeight="1">
      <c r="A17" s="11">
        <v>6</v>
      </c>
      <c r="B17" s="17" t="s">
        <v>934</v>
      </c>
      <c r="C17" s="78" t="s">
        <v>935</v>
      </c>
      <c r="D17" s="98">
        <v>5973</v>
      </c>
      <c r="E17" s="18">
        <v>9800</v>
      </c>
    </row>
    <row r="18" spans="1:5" ht="15.75" customHeight="1">
      <c r="A18" s="11">
        <v>7</v>
      </c>
      <c r="B18" s="17" t="s">
        <v>936</v>
      </c>
      <c r="C18" s="13" t="s">
        <v>937</v>
      </c>
      <c r="D18" s="98">
        <v>1029</v>
      </c>
      <c r="E18" s="18">
        <v>57500</v>
      </c>
    </row>
    <row r="19" spans="1:5" ht="15.75" customHeight="1">
      <c r="A19" s="11">
        <v>8</v>
      </c>
      <c r="B19" s="24" t="s">
        <v>938</v>
      </c>
      <c r="C19" s="78" t="s">
        <v>329</v>
      </c>
      <c r="D19" s="78" t="s">
        <v>939</v>
      </c>
      <c r="E19" s="79">
        <v>5571.07</v>
      </c>
    </row>
    <row r="20" spans="1:5" ht="15.75" customHeight="1">
      <c r="A20" s="11">
        <v>9</v>
      </c>
      <c r="B20" s="24" t="s">
        <v>940</v>
      </c>
      <c r="C20" s="13" t="s">
        <v>882</v>
      </c>
      <c r="D20" s="78">
        <v>3071</v>
      </c>
      <c r="E20" s="18">
        <v>933284</v>
      </c>
    </row>
    <row r="21" spans="1:5" ht="15.75" customHeight="1">
      <c r="A21" s="11">
        <v>10</v>
      </c>
      <c r="B21" s="12" t="s">
        <v>941</v>
      </c>
      <c r="C21" s="13" t="s">
        <v>988</v>
      </c>
      <c r="D21" s="13">
        <v>113319903</v>
      </c>
      <c r="E21" s="14">
        <v>28655</v>
      </c>
    </row>
    <row r="22" spans="1:5" ht="15.75" customHeight="1">
      <c r="A22" s="11">
        <v>11</v>
      </c>
      <c r="B22" s="80" t="s">
        <v>942</v>
      </c>
      <c r="C22" s="78" t="s">
        <v>935</v>
      </c>
      <c r="D22" s="78">
        <v>5481</v>
      </c>
      <c r="E22" s="14">
        <v>48400</v>
      </c>
    </row>
    <row r="23" spans="1:5" ht="15.75" customHeight="1">
      <c r="A23" s="11">
        <v>12</v>
      </c>
      <c r="B23" s="17" t="s">
        <v>943</v>
      </c>
      <c r="C23" s="78" t="s">
        <v>944</v>
      </c>
      <c r="D23" s="13">
        <v>4233</v>
      </c>
      <c r="E23" s="18">
        <v>48950</v>
      </c>
    </row>
    <row r="24" spans="1:5" ht="15.75" customHeight="1">
      <c r="A24" s="11">
        <v>13</v>
      </c>
      <c r="B24" s="12" t="s">
        <v>945</v>
      </c>
      <c r="C24" s="13" t="s">
        <v>988</v>
      </c>
      <c r="D24" s="13">
        <v>113433535</v>
      </c>
      <c r="E24" s="14">
        <v>19100</v>
      </c>
    </row>
    <row r="25" spans="1:5" ht="15.75" customHeight="1">
      <c r="A25" s="11">
        <v>14</v>
      </c>
      <c r="B25" s="24" t="s">
        <v>946</v>
      </c>
      <c r="C25" s="78" t="s">
        <v>935</v>
      </c>
      <c r="D25" s="78">
        <v>5498</v>
      </c>
      <c r="E25" s="18">
        <v>46810</v>
      </c>
    </row>
    <row r="26" spans="1:5" ht="15.75" customHeight="1">
      <c r="A26" s="11">
        <v>15</v>
      </c>
      <c r="B26" s="17" t="s">
        <v>947</v>
      </c>
      <c r="C26" s="46" t="s">
        <v>56</v>
      </c>
      <c r="D26" s="98">
        <v>603</v>
      </c>
      <c r="E26" s="18">
        <v>12384</v>
      </c>
    </row>
    <row r="27" spans="1:5" ht="15.75" customHeight="1">
      <c r="A27" s="11">
        <v>16</v>
      </c>
      <c r="B27" s="24" t="s">
        <v>948</v>
      </c>
      <c r="C27" s="13" t="s">
        <v>988</v>
      </c>
      <c r="D27" s="78">
        <v>113722132</v>
      </c>
      <c r="E27" s="14">
        <v>253.4</v>
      </c>
    </row>
    <row r="28" spans="1:5" ht="15.75" customHeight="1">
      <c r="A28" s="11">
        <v>17</v>
      </c>
      <c r="B28" s="17" t="s">
        <v>949</v>
      </c>
      <c r="C28" s="98" t="s">
        <v>950</v>
      </c>
      <c r="D28" s="98" t="s">
        <v>951</v>
      </c>
      <c r="E28" s="18">
        <v>97793.600000000006</v>
      </c>
    </row>
    <row r="29" spans="1:5" ht="15.75" customHeight="1">
      <c r="A29" s="11">
        <v>18</v>
      </c>
      <c r="B29" s="92" t="s">
        <v>952</v>
      </c>
      <c r="C29" s="78" t="s">
        <v>882</v>
      </c>
      <c r="D29" s="98">
        <v>4063</v>
      </c>
      <c r="E29" s="18">
        <v>28604</v>
      </c>
    </row>
    <row r="30" spans="1:5" ht="15.75" customHeight="1">
      <c r="A30" s="11">
        <v>19</v>
      </c>
      <c r="B30" s="17" t="s">
        <v>953</v>
      </c>
      <c r="C30" s="13" t="s">
        <v>309</v>
      </c>
      <c r="D30" s="98" t="s">
        <v>954</v>
      </c>
      <c r="E30" s="18">
        <v>31835.42</v>
      </c>
    </row>
    <row r="31" spans="1:5" ht="15.75" customHeight="1">
      <c r="A31" s="11">
        <v>20</v>
      </c>
      <c r="B31" s="17" t="s">
        <v>955</v>
      </c>
      <c r="C31" s="13" t="s">
        <v>16</v>
      </c>
      <c r="D31" s="98">
        <v>579</v>
      </c>
      <c r="E31" s="18">
        <v>225932</v>
      </c>
    </row>
    <row r="32" spans="1:5" ht="15.75" customHeight="1">
      <c r="A32" s="11">
        <v>21</v>
      </c>
      <c r="B32" s="17" t="s">
        <v>956</v>
      </c>
      <c r="C32" s="13" t="s">
        <v>957</v>
      </c>
      <c r="D32" s="98">
        <v>46</v>
      </c>
      <c r="E32" s="18">
        <v>319000</v>
      </c>
    </row>
    <row r="33" spans="1:5" ht="15.75" customHeight="1">
      <c r="A33" s="11">
        <v>22</v>
      </c>
      <c r="B33" s="17" t="s">
        <v>989</v>
      </c>
      <c r="C33" s="13" t="s">
        <v>14</v>
      </c>
      <c r="D33" s="98" t="s">
        <v>959</v>
      </c>
      <c r="E33" s="18">
        <v>91200</v>
      </c>
    </row>
    <row r="34" spans="1:5" ht="15.75" customHeight="1">
      <c r="A34" s="11">
        <v>23</v>
      </c>
      <c r="B34" s="17" t="s">
        <v>990</v>
      </c>
      <c r="C34" s="13" t="s">
        <v>16</v>
      </c>
      <c r="D34" s="98">
        <v>580</v>
      </c>
      <c r="E34" s="18">
        <v>4716</v>
      </c>
    </row>
    <row r="35" spans="1:5" ht="15.75" customHeight="1">
      <c r="A35" s="11">
        <v>24</v>
      </c>
      <c r="B35" s="17" t="s">
        <v>991</v>
      </c>
      <c r="C35" s="13" t="s">
        <v>962</v>
      </c>
      <c r="D35" s="98">
        <v>32</v>
      </c>
      <c r="E35" s="18">
        <v>21000</v>
      </c>
    </row>
    <row r="36" spans="1:5" ht="15.75" customHeight="1">
      <c r="A36" s="11">
        <v>25</v>
      </c>
      <c r="B36" s="17" t="s">
        <v>963</v>
      </c>
      <c r="C36" s="13" t="s">
        <v>783</v>
      </c>
      <c r="D36" s="98" t="s">
        <v>964</v>
      </c>
      <c r="E36" s="18">
        <v>5250</v>
      </c>
    </row>
    <row r="37" spans="1:5" ht="15.75" customHeight="1">
      <c r="A37" s="11">
        <v>26</v>
      </c>
      <c r="B37" s="12" t="s">
        <v>992</v>
      </c>
      <c r="C37" s="46" t="s">
        <v>711</v>
      </c>
      <c r="D37" s="13">
        <v>690</v>
      </c>
      <c r="E37" s="19">
        <v>35000</v>
      </c>
    </row>
    <row r="38" spans="1:5" ht="15.75" customHeight="1">
      <c r="A38" s="11">
        <v>27</v>
      </c>
      <c r="B38" s="17" t="s">
        <v>949</v>
      </c>
      <c r="C38" s="46" t="s">
        <v>783</v>
      </c>
      <c r="D38" s="98" t="s">
        <v>965</v>
      </c>
      <c r="E38" s="18">
        <v>10980</v>
      </c>
    </row>
    <row r="39" spans="1:5" ht="15.75" customHeight="1">
      <c r="A39" s="11">
        <v>28</v>
      </c>
      <c r="B39" s="17" t="s">
        <v>966</v>
      </c>
      <c r="C39" s="46" t="s">
        <v>993</v>
      </c>
      <c r="D39" s="98">
        <v>4897</v>
      </c>
      <c r="E39" s="18">
        <v>47461</v>
      </c>
    </row>
    <row r="40" spans="1:5" ht="15.75" customHeight="1">
      <c r="A40" s="11">
        <v>29</v>
      </c>
      <c r="B40" s="17" t="s">
        <v>967</v>
      </c>
      <c r="C40" s="46" t="s">
        <v>334</v>
      </c>
      <c r="D40" s="98">
        <v>114993186</v>
      </c>
      <c r="E40" s="18">
        <v>9800</v>
      </c>
    </row>
    <row r="41" spans="1:5" ht="15.75" customHeight="1">
      <c r="A41" s="11">
        <v>30</v>
      </c>
      <c r="B41" s="17" t="s">
        <v>968</v>
      </c>
      <c r="C41" s="46" t="s">
        <v>269</v>
      </c>
      <c r="D41" s="98">
        <v>7355</v>
      </c>
      <c r="E41" s="18">
        <v>87000</v>
      </c>
    </row>
    <row r="42" spans="1:5" ht="15.75" customHeight="1">
      <c r="A42" s="11">
        <v>31</v>
      </c>
      <c r="B42" s="17" t="s">
        <v>969</v>
      </c>
      <c r="C42" s="46" t="s">
        <v>826</v>
      </c>
      <c r="D42" s="98">
        <v>21482</v>
      </c>
      <c r="E42" s="18">
        <v>18542.59</v>
      </c>
    </row>
    <row r="43" spans="1:5" ht="15.75" customHeight="1">
      <c r="A43" s="11">
        <v>32</v>
      </c>
      <c r="B43" s="17" t="s">
        <v>970</v>
      </c>
      <c r="C43" s="46" t="s">
        <v>334</v>
      </c>
      <c r="D43" s="98">
        <v>15077270</v>
      </c>
      <c r="E43" s="18">
        <v>5800</v>
      </c>
    </row>
    <row r="44" spans="1:5" ht="15.75" customHeight="1">
      <c r="A44" s="11">
        <v>33</v>
      </c>
      <c r="B44" s="17" t="s">
        <v>994</v>
      </c>
      <c r="C44" s="13" t="s">
        <v>16</v>
      </c>
      <c r="D44" s="98">
        <v>587</v>
      </c>
      <c r="E44" s="18"/>
    </row>
    <row r="45" spans="1:5" ht="15.75" customHeight="1">
      <c r="A45" s="11">
        <v>34</v>
      </c>
      <c r="B45" s="17" t="s">
        <v>972</v>
      </c>
      <c r="C45" s="46" t="s">
        <v>15</v>
      </c>
      <c r="D45" s="98" t="s">
        <v>973</v>
      </c>
      <c r="E45" s="18">
        <v>59761.74</v>
      </c>
    </row>
    <row r="46" spans="1:5" ht="15.75" customHeight="1">
      <c r="A46" s="11">
        <v>35</v>
      </c>
      <c r="B46" s="17" t="s">
        <v>974</v>
      </c>
      <c r="C46" s="46" t="s">
        <v>81</v>
      </c>
      <c r="D46" s="98" t="s">
        <v>975</v>
      </c>
      <c r="E46" s="18"/>
    </row>
    <row r="47" spans="1:5" ht="15.75" customHeight="1">
      <c r="A47" s="11">
        <v>36</v>
      </c>
      <c r="B47" s="17" t="s">
        <v>976</v>
      </c>
      <c r="C47" s="46" t="s">
        <v>56</v>
      </c>
      <c r="D47" s="98">
        <v>605</v>
      </c>
      <c r="E47" s="18">
        <v>16980</v>
      </c>
    </row>
    <row r="48" spans="1:5" ht="15.75" customHeight="1">
      <c r="A48" s="11">
        <v>37</v>
      </c>
      <c r="B48" s="17" t="s">
        <v>977</v>
      </c>
      <c r="C48" s="46" t="s">
        <v>218</v>
      </c>
      <c r="D48" s="98">
        <v>819</v>
      </c>
      <c r="E48" s="18">
        <v>276000</v>
      </c>
    </row>
    <row r="49" spans="1:5" ht="15.75" customHeight="1">
      <c r="A49" s="11">
        <v>36</v>
      </c>
      <c r="B49" s="17" t="s">
        <v>978</v>
      </c>
      <c r="C49" s="46" t="s">
        <v>979</v>
      </c>
      <c r="D49" s="98">
        <v>2</v>
      </c>
      <c r="E49" s="18">
        <v>55000</v>
      </c>
    </row>
    <row r="50" spans="1:5" ht="15.75" customHeight="1">
      <c r="A50" s="11">
        <v>38</v>
      </c>
      <c r="B50" s="17" t="s">
        <v>980</v>
      </c>
      <c r="C50" s="13" t="s">
        <v>981</v>
      </c>
      <c r="D50" s="98">
        <v>16</v>
      </c>
      <c r="E50" s="18">
        <v>971200</v>
      </c>
    </row>
    <row r="51" spans="1:5" ht="43.5" customHeight="1">
      <c r="A51" s="11">
        <v>39</v>
      </c>
      <c r="B51" s="99" t="s">
        <v>995</v>
      </c>
      <c r="C51" s="100" t="s">
        <v>309</v>
      </c>
      <c r="D51" s="101" t="s">
        <v>996</v>
      </c>
      <c r="E51" s="102">
        <v>118144.7</v>
      </c>
    </row>
    <row r="52" spans="1:5" ht="56.25" customHeight="1">
      <c r="A52" s="11">
        <v>40</v>
      </c>
      <c r="B52" s="99" t="s">
        <v>995</v>
      </c>
      <c r="C52" s="100" t="s">
        <v>309</v>
      </c>
      <c r="D52" s="103" t="s">
        <v>997</v>
      </c>
      <c r="E52" s="18">
        <v>72145</v>
      </c>
    </row>
    <row r="53" spans="1:5" ht="15.75" customHeight="1">
      <c r="A53" s="8" t="s">
        <v>24</v>
      </c>
      <c r="B53" s="203"/>
      <c r="C53" s="204"/>
      <c r="D53" s="205"/>
      <c r="E53" s="49">
        <f>SUM(E12:E52)</f>
        <v>4299306.5199999996</v>
      </c>
    </row>
    <row r="54" spans="1:5" ht="15.75" customHeight="1">
      <c r="A54" s="198"/>
      <c r="B54" s="196"/>
      <c r="C54" s="196"/>
      <c r="D54" s="196"/>
      <c r="E54" s="196"/>
    </row>
    <row r="55" spans="1:5" ht="15.75" customHeight="1">
      <c r="A55" s="198" t="s">
        <v>998</v>
      </c>
      <c r="B55" s="196"/>
      <c r="C55" s="196"/>
      <c r="D55" s="196"/>
      <c r="E55" s="27">
        <f>E53*8%</f>
        <v>343944.52159999998</v>
      </c>
    </row>
    <row r="56" spans="1:5" ht="14.25" customHeight="1">
      <c r="A56" s="198" t="s">
        <v>25</v>
      </c>
      <c r="B56" s="196"/>
      <c r="C56" s="196"/>
      <c r="D56" s="196"/>
      <c r="E56" s="196"/>
    </row>
    <row r="57" spans="1:5" ht="35.25" customHeight="1">
      <c r="A57" s="198"/>
      <c r="B57" s="196"/>
      <c r="C57" s="196"/>
      <c r="D57" s="196"/>
      <c r="E57" s="196"/>
    </row>
    <row r="58" spans="1:5" ht="15.75" customHeight="1">
      <c r="A58" s="198" t="s">
        <v>26</v>
      </c>
      <c r="B58" s="196"/>
      <c r="C58" s="196"/>
      <c r="D58" s="196"/>
      <c r="E58" s="196"/>
    </row>
    <row r="59" spans="1:5" ht="15.75" customHeight="1">
      <c r="A59" s="198" t="s">
        <v>27</v>
      </c>
      <c r="B59" s="196"/>
      <c r="C59" s="196"/>
      <c r="D59" s="196"/>
      <c r="E59" s="196"/>
    </row>
    <row r="60" spans="1:5" ht="15.75" customHeight="1">
      <c r="A60" s="198" t="s">
        <v>28</v>
      </c>
      <c r="B60" s="196"/>
      <c r="C60" s="196"/>
      <c r="D60" s="196"/>
      <c r="E60" s="196"/>
    </row>
  </sheetData>
  <mergeCells count="18">
    <mergeCell ref="A60:E60"/>
    <mergeCell ref="A8:E8"/>
    <mergeCell ref="A9:E9"/>
    <mergeCell ref="A10:E10"/>
    <mergeCell ref="B53:D53"/>
    <mergeCell ref="A54:E54"/>
    <mergeCell ref="A55:D55"/>
    <mergeCell ref="A56:E56"/>
    <mergeCell ref="A6:E6"/>
    <mergeCell ref="A7:E7"/>
    <mergeCell ref="A57:E57"/>
    <mergeCell ref="A58:E58"/>
    <mergeCell ref="A59:E59"/>
    <mergeCell ref="A1:E1"/>
    <mergeCell ref="A2:E2"/>
    <mergeCell ref="A3:E3"/>
    <mergeCell ref="A4:E4"/>
    <mergeCell ref="A5:E5"/>
  </mergeCells>
  <conditionalFormatting sqref="E12:E52">
    <cfRule type="notContainsBlanks" dxfId="68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  <pageSetUpPr fitToPage="1"/>
  </sheetPr>
  <dimension ref="A1:E45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999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">
        <v>1</v>
      </c>
      <c r="B12" s="17" t="s">
        <v>1000</v>
      </c>
      <c r="C12" s="13" t="s">
        <v>1001</v>
      </c>
      <c r="D12" s="98">
        <v>16</v>
      </c>
      <c r="E12" s="18">
        <v>32000</v>
      </c>
    </row>
    <row r="13" spans="1:5" ht="15.75" customHeight="1">
      <c r="A13" s="11">
        <v>2</v>
      </c>
      <c r="B13" s="17" t="s">
        <v>1002</v>
      </c>
      <c r="C13" s="13" t="s">
        <v>711</v>
      </c>
      <c r="D13" s="98">
        <v>742</v>
      </c>
      <c r="E13" s="18">
        <v>577250</v>
      </c>
    </row>
    <row r="14" spans="1:5" ht="15.75" customHeight="1">
      <c r="A14" s="11">
        <v>3</v>
      </c>
      <c r="B14" s="17" t="s">
        <v>1003</v>
      </c>
      <c r="C14" s="13" t="s">
        <v>711</v>
      </c>
      <c r="D14" s="98">
        <v>693</v>
      </c>
      <c r="E14" s="18">
        <v>1103360</v>
      </c>
    </row>
    <row r="15" spans="1:5" ht="15.75" customHeight="1">
      <c r="A15" s="11">
        <v>4</v>
      </c>
      <c r="B15" s="17" t="s">
        <v>1004</v>
      </c>
      <c r="C15" s="78" t="s">
        <v>882</v>
      </c>
      <c r="D15" s="98">
        <v>3693</v>
      </c>
      <c r="E15" s="18">
        <v>53567</v>
      </c>
    </row>
    <row r="16" spans="1:5" ht="15.75" customHeight="1">
      <c r="A16" s="11">
        <v>5</v>
      </c>
      <c r="B16" s="17" t="s">
        <v>1005</v>
      </c>
      <c r="C16" s="78" t="s">
        <v>16</v>
      </c>
      <c r="D16" s="98">
        <v>614</v>
      </c>
      <c r="E16" s="18">
        <v>254626</v>
      </c>
    </row>
    <row r="17" spans="1:5" ht="15.75" customHeight="1">
      <c r="A17" s="11">
        <v>6</v>
      </c>
      <c r="B17" s="17" t="s">
        <v>1006</v>
      </c>
      <c r="C17" s="46" t="s">
        <v>48</v>
      </c>
      <c r="D17" s="98" t="s">
        <v>1007</v>
      </c>
      <c r="E17" s="18">
        <v>64519.199999999997</v>
      </c>
    </row>
    <row r="18" spans="1:5" ht="15.75" customHeight="1">
      <c r="A18" s="11">
        <v>7</v>
      </c>
      <c r="B18" s="17" t="s">
        <v>1008</v>
      </c>
      <c r="C18" s="78" t="s">
        <v>16</v>
      </c>
      <c r="D18" s="98">
        <v>4</v>
      </c>
      <c r="E18" s="18">
        <v>19845</v>
      </c>
    </row>
    <row r="19" spans="1:5" ht="15.75" customHeight="1">
      <c r="A19" s="11">
        <v>8</v>
      </c>
      <c r="B19" s="24" t="s">
        <v>1009</v>
      </c>
      <c r="C19" s="78" t="s">
        <v>1010</v>
      </c>
      <c r="D19" s="78">
        <v>494</v>
      </c>
      <c r="E19" s="79">
        <v>55000</v>
      </c>
    </row>
    <row r="20" spans="1:5" ht="15.75" customHeight="1">
      <c r="A20" s="11">
        <v>9</v>
      </c>
      <c r="B20" s="24" t="s">
        <v>1011</v>
      </c>
      <c r="C20" s="13" t="s">
        <v>48</v>
      </c>
      <c r="D20" s="78" t="s">
        <v>1012</v>
      </c>
      <c r="E20" s="18">
        <v>5287.74</v>
      </c>
    </row>
    <row r="21" spans="1:5" ht="15.75" customHeight="1">
      <c r="A21" s="11">
        <v>10</v>
      </c>
      <c r="B21" s="12" t="s">
        <v>1013</v>
      </c>
      <c r="C21" s="13" t="s">
        <v>1014</v>
      </c>
      <c r="D21" s="13">
        <v>19</v>
      </c>
      <c r="E21" s="14">
        <v>86000</v>
      </c>
    </row>
    <row r="22" spans="1:5" ht="15.75" customHeight="1">
      <c r="A22" s="11">
        <v>11</v>
      </c>
      <c r="B22" s="80" t="s">
        <v>1015</v>
      </c>
      <c r="C22" s="78" t="s">
        <v>1016</v>
      </c>
      <c r="D22" s="78">
        <v>12</v>
      </c>
      <c r="E22" s="14">
        <v>72430</v>
      </c>
    </row>
    <row r="23" spans="1:5" ht="15.75" customHeight="1">
      <c r="A23" s="11">
        <v>12</v>
      </c>
      <c r="B23" s="17" t="s">
        <v>1017</v>
      </c>
      <c r="C23" s="78" t="s">
        <v>1018</v>
      </c>
      <c r="D23" s="13">
        <v>116506706</v>
      </c>
      <c r="E23" s="18">
        <v>25000</v>
      </c>
    </row>
    <row r="24" spans="1:5" ht="15.75" customHeight="1">
      <c r="A24" s="11">
        <v>13</v>
      </c>
      <c r="B24" s="24" t="s">
        <v>1019</v>
      </c>
      <c r="C24" s="78" t="s">
        <v>828</v>
      </c>
      <c r="D24" s="78" t="s">
        <v>1020</v>
      </c>
      <c r="E24" s="18">
        <v>241200</v>
      </c>
    </row>
    <row r="25" spans="1:5" ht="15.75" customHeight="1">
      <c r="A25" s="11">
        <v>14</v>
      </c>
      <c r="B25" s="12" t="s">
        <v>1021</v>
      </c>
      <c r="C25" s="13" t="s">
        <v>1022</v>
      </c>
      <c r="D25" s="13">
        <v>35</v>
      </c>
      <c r="E25" s="14">
        <v>192251</v>
      </c>
    </row>
    <row r="26" spans="1:5" ht="15.75" customHeight="1">
      <c r="A26" s="11">
        <v>15</v>
      </c>
      <c r="B26" s="24" t="s">
        <v>1023</v>
      </c>
      <c r="C26" s="13" t="s">
        <v>1022</v>
      </c>
      <c r="D26" s="13">
        <v>34</v>
      </c>
      <c r="E26" s="14">
        <v>132157</v>
      </c>
    </row>
    <row r="27" spans="1:5" ht="15.75" customHeight="1">
      <c r="A27" s="11">
        <v>16</v>
      </c>
      <c r="B27" s="24" t="s">
        <v>1024</v>
      </c>
      <c r="C27" s="78" t="s">
        <v>1018</v>
      </c>
      <c r="D27" s="98">
        <v>116507174</v>
      </c>
      <c r="E27" s="14">
        <v>5150</v>
      </c>
    </row>
    <row r="28" spans="1:5" ht="15.75" customHeight="1">
      <c r="A28" s="11">
        <v>17</v>
      </c>
      <c r="B28" s="24" t="s">
        <v>1025</v>
      </c>
      <c r="C28" s="78" t="s">
        <v>16</v>
      </c>
      <c r="D28" s="78">
        <v>7</v>
      </c>
      <c r="E28" s="14">
        <v>172350</v>
      </c>
    </row>
    <row r="29" spans="1:5" ht="15.75" customHeight="1">
      <c r="A29" s="11">
        <v>18</v>
      </c>
      <c r="B29" s="17" t="s">
        <v>1026</v>
      </c>
      <c r="C29" s="78" t="s">
        <v>16</v>
      </c>
      <c r="D29" s="98">
        <v>9</v>
      </c>
      <c r="E29" s="18">
        <v>18900</v>
      </c>
    </row>
    <row r="30" spans="1:5" ht="15.75" customHeight="1">
      <c r="A30" s="11">
        <v>19</v>
      </c>
      <c r="B30" s="92" t="s">
        <v>1027</v>
      </c>
      <c r="C30" s="78" t="s">
        <v>1028</v>
      </c>
      <c r="D30" s="98">
        <v>6</v>
      </c>
      <c r="E30" s="18">
        <v>36750</v>
      </c>
    </row>
    <row r="31" spans="1:5" ht="15.75" customHeight="1">
      <c r="A31" s="11">
        <v>20</v>
      </c>
      <c r="B31" s="17" t="s">
        <v>1029</v>
      </c>
      <c r="C31" s="13" t="s">
        <v>209</v>
      </c>
      <c r="D31" s="98">
        <v>39</v>
      </c>
      <c r="E31" s="18">
        <v>185200</v>
      </c>
    </row>
    <row r="32" spans="1:5" ht="15.75" customHeight="1">
      <c r="A32" s="11">
        <v>21</v>
      </c>
      <c r="B32" s="17" t="s">
        <v>1030</v>
      </c>
      <c r="C32" s="78" t="s">
        <v>1018</v>
      </c>
      <c r="D32" s="98">
        <v>116978092</v>
      </c>
      <c r="E32" s="18">
        <v>59285</v>
      </c>
    </row>
    <row r="33" spans="1:5" ht="15.75" customHeight="1">
      <c r="A33" s="11">
        <v>22</v>
      </c>
      <c r="B33" s="17" t="s">
        <v>1031</v>
      </c>
      <c r="C33" s="78" t="s">
        <v>1018</v>
      </c>
      <c r="D33" s="98">
        <v>116999838</v>
      </c>
      <c r="E33" s="18">
        <v>22520</v>
      </c>
    </row>
    <row r="34" spans="1:5" ht="15.75" customHeight="1">
      <c r="A34" s="11">
        <v>23</v>
      </c>
      <c r="B34" s="17" t="s">
        <v>1032</v>
      </c>
      <c r="C34" s="78" t="s">
        <v>1018</v>
      </c>
      <c r="D34" s="98">
        <v>117073747</v>
      </c>
      <c r="E34" s="18">
        <v>23400</v>
      </c>
    </row>
    <row r="35" spans="1:5" ht="15.75" customHeight="1">
      <c r="A35" s="11">
        <v>24</v>
      </c>
      <c r="B35" s="24" t="s">
        <v>1033</v>
      </c>
      <c r="C35" s="104" t="s">
        <v>292</v>
      </c>
      <c r="D35" s="104">
        <v>161</v>
      </c>
      <c r="E35" s="18">
        <v>14532</v>
      </c>
    </row>
    <row r="36" spans="1:5" ht="15.75" customHeight="1">
      <c r="A36" s="11">
        <v>26</v>
      </c>
      <c r="B36" s="17" t="s">
        <v>1034</v>
      </c>
      <c r="C36" s="78" t="s">
        <v>1018</v>
      </c>
      <c r="D36" s="98">
        <v>117344101</v>
      </c>
      <c r="E36" s="18">
        <v>3624</v>
      </c>
    </row>
    <row r="37" spans="1:5" ht="15.75" customHeight="1">
      <c r="A37" s="11">
        <v>26</v>
      </c>
      <c r="B37" s="17" t="s">
        <v>1035</v>
      </c>
      <c r="C37" s="78" t="s">
        <v>828</v>
      </c>
      <c r="D37" s="98" t="s">
        <v>1036</v>
      </c>
      <c r="E37" s="18">
        <v>132400</v>
      </c>
    </row>
    <row r="38" spans="1:5" ht="15.75" customHeight="1">
      <c r="A38" s="8" t="s">
        <v>24</v>
      </c>
      <c r="B38" s="203"/>
      <c r="C38" s="204"/>
      <c r="D38" s="205"/>
      <c r="E38" s="49">
        <f>SUM(E12:E37)</f>
        <v>3588603.9400000004</v>
      </c>
    </row>
    <row r="39" spans="1:5" ht="15.75" customHeight="1">
      <c r="A39" s="198"/>
      <c r="B39" s="196"/>
      <c r="C39" s="196"/>
      <c r="D39" s="196"/>
      <c r="E39" s="196"/>
    </row>
    <row r="40" spans="1:5" ht="15.75" customHeight="1">
      <c r="A40" s="198" t="s">
        <v>1037</v>
      </c>
      <c r="B40" s="196"/>
      <c r="C40" s="196"/>
      <c r="D40" s="196"/>
      <c r="E40" s="27">
        <f>IF(E38&gt;=10000000,5000000*2%+5000000*1%+(E38-10000000)*0.5%,IF(E38&gt;=5000000,5000000*2%+(E38-5000000)*1%,E38*2%))</f>
        <v>71772.078800000003</v>
      </c>
    </row>
    <row r="41" spans="1:5" ht="14.25" customHeight="1">
      <c r="A41" s="198" t="s">
        <v>25</v>
      </c>
      <c r="B41" s="196"/>
      <c r="C41" s="196"/>
      <c r="D41" s="196"/>
      <c r="E41" s="196"/>
    </row>
    <row r="42" spans="1:5" ht="35.25" customHeight="1">
      <c r="A42" s="198"/>
      <c r="B42" s="196"/>
      <c r="C42" s="196"/>
      <c r="D42" s="196"/>
      <c r="E42" s="196"/>
    </row>
    <row r="43" spans="1:5" ht="15.75" customHeight="1">
      <c r="A43" s="198" t="s">
        <v>26</v>
      </c>
      <c r="B43" s="196"/>
      <c r="C43" s="196"/>
      <c r="D43" s="196"/>
      <c r="E43" s="196"/>
    </row>
    <row r="44" spans="1:5" ht="15.75" customHeight="1">
      <c r="A44" s="198" t="s">
        <v>27</v>
      </c>
      <c r="B44" s="196"/>
      <c r="C44" s="196"/>
      <c r="D44" s="196"/>
      <c r="E44" s="196"/>
    </row>
    <row r="45" spans="1:5" ht="15.75" customHeight="1">
      <c r="A45" s="198" t="s">
        <v>28</v>
      </c>
      <c r="B45" s="196"/>
      <c r="C45" s="196"/>
      <c r="D45" s="196"/>
      <c r="E45" s="196"/>
    </row>
  </sheetData>
  <mergeCells count="18">
    <mergeCell ref="A45:E45"/>
    <mergeCell ref="A8:E8"/>
    <mergeCell ref="A9:E9"/>
    <mergeCell ref="A10:E10"/>
    <mergeCell ref="B38:D38"/>
    <mergeCell ref="A39:E39"/>
    <mergeCell ref="A40:D40"/>
    <mergeCell ref="A41:E41"/>
    <mergeCell ref="A6:E6"/>
    <mergeCell ref="A7:E7"/>
    <mergeCell ref="A42:E42"/>
    <mergeCell ref="A43:E43"/>
    <mergeCell ref="A44:E44"/>
    <mergeCell ref="A1:E1"/>
    <mergeCell ref="A2:E2"/>
    <mergeCell ref="A3:E3"/>
    <mergeCell ref="A4:E4"/>
    <mergeCell ref="A5:E5"/>
  </mergeCells>
  <conditionalFormatting sqref="E12:E37">
    <cfRule type="notContainsBlanks" dxfId="67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E40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1038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">
        <v>1</v>
      </c>
      <c r="B12" s="17" t="s">
        <v>1000</v>
      </c>
      <c r="C12" s="13" t="s">
        <v>1001</v>
      </c>
      <c r="D12" s="98">
        <v>16</v>
      </c>
      <c r="E12" s="18">
        <v>32000</v>
      </c>
    </row>
    <row r="13" spans="1:5" ht="15.75" customHeight="1">
      <c r="A13" s="11">
        <v>2</v>
      </c>
      <c r="B13" s="17" t="s">
        <v>1002</v>
      </c>
      <c r="C13" s="13" t="s">
        <v>711</v>
      </c>
      <c r="D13" s="98">
        <v>742</v>
      </c>
      <c r="E13" s="18">
        <v>576093.9</v>
      </c>
    </row>
    <row r="14" spans="1:5" ht="15.75" customHeight="1">
      <c r="A14" s="11">
        <v>3</v>
      </c>
      <c r="B14" s="17" t="s">
        <v>1003</v>
      </c>
      <c r="C14" s="13" t="s">
        <v>711</v>
      </c>
      <c r="D14" s="98">
        <v>693</v>
      </c>
      <c r="E14" s="18">
        <v>1103360</v>
      </c>
    </row>
    <row r="15" spans="1:5" ht="15.75" customHeight="1">
      <c r="A15" s="11">
        <v>4</v>
      </c>
      <c r="B15" s="17" t="s">
        <v>1004</v>
      </c>
      <c r="C15" s="78" t="s">
        <v>882</v>
      </c>
      <c r="D15" s="98">
        <v>3693</v>
      </c>
      <c r="E15" s="18">
        <v>53567</v>
      </c>
    </row>
    <row r="16" spans="1:5" ht="15.75" customHeight="1">
      <c r="A16" s="11">
        <v>5</v>
      </c>
      <c r="B16" s="17" t="s">
        <v>1005</v>
      </c>
      <c r="C16" s="78" t="s">
        <v>16</v>
      </c>
      <c r="D16" s="98">
        <v>614</v>
      </c>
      <c r="E16" s="18">
        <v>254626</v>
      </c>
    </row>
    <row r="17" spans="1:5" ht="15.75" customHeight="1">
      <c r="A17" s="11">
        <v>6</v>
      </c>
      <c r="B17" s="17" t="s">
        <v>1006</v>
      </c>
      <c r="C17" s="46" t="s">
        <v>48</v>
      </c>
      <c r="D17" s="98" t="s">
        <v>1007</v>
      </c>
      <c r="E17" s="18">
        <v>64519.199999999997</v>
      </c>
    </row>
    <row r="18" spans="1:5" ht="15.75" customHeight="1">
      <c r="A18" s="11">
        <v>7</v>
      </c>
      <c r="B18" s="17" t="s">
        <v>1008</v>
      </c>
      <c r="C18" s="78" t="s">
        <v>16</v>
      </c>
      <c r="D18" s="98">
        <v>4</v>
      </c>
      <c r="E18" s="18">
        <v>19845</v>
      </c>
    </row>
    <row r="19" spans="1:5" ht="15.75" customHeight="1">
      <c r="A19" s="11">
        <v>8</v>
      </c>
      <c r="B19" s="24" t="s">
        <v>1009</v>
      </c>
      <c r="C19" s="78" t="s">
        <v>1010</v>
      </c>
      <c r="D19" s="78">
        <v>494</v>
      </c>
      <c r="E19" s="79">
        <v>55000</v>
      </c>
    </row>
    <row r="20" spans="1:5" ht="15.75" customHeight="1">
      <c r="A20" s="11">
        <v>9</v>
      </c>
      <c r="B20" s="24" t="s">
        <v>1011</v>
      </c>
      <c r="C20" s="13" t="s">
        <v>48</v>
      </c>
      <c r="D20" s="78" t="s">
        <v>1012</v>
      </c>
      <c r="E20" s="18">
        <v>5287.74</v>
      </c>
    </row>
    <row r="21" spans="1:5" ht="15.75" customHeight="1">
      <c r="A21" s="11">
        <v>10</v>
      </c>
      <c r="B21" s="12" t="s">
        <v>1013</v>
      </c>
      <c r="C21" s="13" t="s">
        <v>1014</v>
      </c>
      <c r="D21" s="13">
        <v>19</v>
      </c>
      <c r="E21" s="14">
        <v>86000</v>
      </c>
    </row>
    <row r="22" spans="1:5" ht="15.75" customHeight="1">
      <c r="A22" s="11">
        <v>11</v>
      </c>
      <c r="B22" s="17" t="s">
        <v>1017</v>
      </c>
      <c r="C22" s="78" t="s">
        <v>1018</v>
      </c>
      <c r="D22" s="13">
        <v>116506706</v>
      </c>
      <c r="E22" s="18">
        <v>25000</v>
      </c>
    </row>
    <row r="23" spans="1:5" ht="15.75" customHeight="1">
      <c r="A23" s="11">
        <v>12</v>
      </c>
      <c r="B23" s="24" t="s">
        <v>1019</v>
      </c>
      <c r="C23" s="78" t="s">
        <v>828</v>
      </c>
      <c r="D23" s="78" t="s">
        <v>1020</v>
      </c>
      <c r="E23" s="18">
        <v>241200</v>
      </c>
    </row>
    <row r="24" spans="1:5" ht="15.75" customHeight="1">
      <c r="A24" s="11">
        <v>13</v>
      </c>
      <c r="B24" s="12" t="s">
        <v>1021</v>
      </c>
      <c r="C24" s="13" t="s">
        <v>1022</v>
      </c>
      <c r="D24" s="13">
        <v>35</v>
      </c>
      <c r="E24" s="14">
        <v>192251</v>
      </c>
    </row>
    <row r="25" spans="1:5" ht="15.75" customHeight="1">
      <c r="A25" s="11">
        <v>14</v>
      </c>
      <c r="B25" s="24" t="s">
        <v>1023</v>
      </c>
      <c r="C25" s="13" t="s">
        <v>1022</v>
      </c>
      <c r="D25" s="13">
        <v>34</v>
      </c>
      <c r="E25" s="14">
        <v>132157</v>
      </c>
    </row>
    <row r="26" spans="1:5" ht="15.75" customHeight="1">
      <c r="A26" s="11">
        <v>15</v>
      </c>
      <c r="B26" s="17" t="s">
        <v>1026</v>
      </c>
      <c r="C26" s="78" t="s">
        <v>16</v>
      </c>
      <c r="D26" s="98">
        <v>9</v>
      </c>
      <c r="E26" s="18">
        <v>18900</v>
      </c>
    </row>
    <row r="27" spans="1:5" ht="15.75" customHeight="1">
      <c r="A27" s="11">
        <v>16</v>
      </c>
      <c r="B27" s="92" t="s">
        <v>1027</v>
      </c>
      <c r="C27" s="78" t="s">
        <v>1028</v>
      </c>
      <c r="D27" s="98">
        <v>6</v>
      </c>
      <c r="E27" s="18">
        <v>36750</v>
      </c>
    </row>
    <row r="28" spans="1:5" ht="15.75" customHeight="1">
      <c r="A28" s="11">
        <v>17</v>
      </c>
      <c r="B28" s="17" t="s">
        <v>1030</v>
      </c>
      <c r="C28" s="78" t="s">
        <v>1018</v>
      </c>
      <c r="D28" s="98">
        <v>116978092</v>
      </c>
      <c r="E28" s="18">
        <v>59285</v>
      </c>
    </row>
    <row r="29" spans="1:5" ht="15.75" customHeight="1">
      <c r="A29" s="11">
        <v>18</v>
      </c>
      <c r="B29" s="17" t="s">
        <v>1031</v>
      </c>
      <c r="C29" s="78" t="s">
        <v>1018</v>
      </c>
      <c r="D29" s="98">
        <v>116999838</v>
      </c>
      <c r="E29" s="18">
        <v>22520</v>
      </c>
    </row>
    <row r="30" spans="1:5" ht="15.75" customHeight="1">
      <c r="A30" s="11">
        <v>19</v>
      </c>
      <c r="B30" s="17" t="s">
        <v>1032</v>
      </c>
      <c r="C30" s="78" t="s">
        <v>1018</v>
      </c>
      <c r="D30" s="98">
        <v>117073747</v>
      </c>
      <c r="E30" s="18">
        <v>23400</v>
      </c>
    </row>
    <row r="31" spans="1:5" ht="15.75" customHeight="1">
      <c r="A31" s="11">
        <v>20</v>
      </c>
      <c r="B31" s="17" t="s">
        <v>1034</v>
      </c>
      <c r="C31" s="78" t="s">
        <v>1018</v>
      </c>
      <c r="D31" s="98">
        <v>117344101</v>
      </c>
      <c r="E31" s="18">
        <v>3624</v>
      </c>
    </row>
    <row r="32" spans="1:5" ht="15.75" customHeight="1">
      <c r="A32" s="11">
        <v>21</v>
      </c>
      <c r="B32" s="17" t="s">
        <v>1035</v>
      </c>
      <c r="C32" s="78" t="s">
        <v>828</v>
      </c>
      <c r="D32" s="98" t="s">
        <v>1036</v>
      </c>
      <c r="E32" s="18">
        <v>132400</v>
      </c>
    </row>
    <row r="33" spans="1:5" ht="15.75" customHeight="1">
      <c r="A33" s="8" t="s">
        <v>24</v>
      </c>
      <c r="B33" s="203"/>
      <c r="C33" s="204"/>
      <c r="D33" s="205"/>
      <c r="E33" s="49">
        <f>SUM(E12:E32)</f>
        <v>3137785.84</v>
      </c>
    </row>
    <row r="34" spans="1:5" ht="15.75" customHeight="1">
      <c r="A34" s="198"/>
      <c r="B34" s="196"/>
      <c r="C34" s="196"/>
      <c r="D34" s="196"/>
      <c r="E34" s="196"/>
    </row>
    <row r="35" spans="1:5" ht="15.75" customHeight="1">
      <c r="A35" s="198" t="s">
        <v>1039</v>
      </c>
      <c r="B35" s="196"/>
      <c r="C35" s="196"/>
      <c r="D35" s="196"/>
      <c r="E35" s="27">
        <f>E33*8%</f>
        <v>251022.86719999998</v>
      </c>
    </row>
    <row r="36" spans="1:5" ht="14.25" customHeight="1">
      <c r="A36" s="198" t="s">
        <v>25</v>
      </c>
      <c r="B36" s="196"/>
      <c r="C36" s="196"/>
      <c r="D36" s="196"/>
      <c r="E36" s="196"/>
    </row>
    <row r="37" spans="1:5" ht="35.25" customHeight="1">
      <c r="A37" s="198"/>
      <c r="B37" s="196"/>
      <c r="C37" s="196"/>
      <c r="D37" s="196"/>
      <c r="E37" s="196"/>
    </row>
    <row r="38" spans="1:5" ht="15.75" customHeight="1">
      <c r="A38" s="198" t="s">
        <v>26</v>
      </c>
      <c r="B38" s="196"/>
      <c r="C38" s="196"/>
      <c r="D38" s="196"/>
      <c r="E38" s="196"/>
    </row>
    <row r="39" spans="1:5" ht="15.75" customHeight="1">
      <c r="A39" s="198" t="s">
        <v>27</v>
      </c>
      <c r="B39" s="196"/>
      <c r="C39" s="196"/>
      <c r="D39" s="196"/>
      <c r="E39" s="196"/>
    </row>
    <row r="40" spans="1:5" ht="15.75" customHeight="1">
      <c r="A40" s="198" t="s">
        <v>28</v>
      </c>
      <c r="B40" s="196"/>
      <c r="C40" s="196"/>
      <c r="D40" s="196"/>
      <c r="E40" s="196"/>
    </row>
  </sheetData>
  <mergeCells count="18">
    <mergeCell ref="A40:E40"/>
    <mergeCell ref="A8:E8"/>
    <mergeCell ref="A9:E9"/>
    <mergeCell ref="A10:E10"/>
    <mergeCell ref="B33:D33"/>
    <mergeCell ref="A34:E34"/>
    <mergeCell ref="A35:D35"/>
    <mergeCell ref="A36:E36"/>
    <mergeCell ref="A6:E6"/>
    <mergeCell ref="A7:E7"/>
    <mergeCell ref="A37:E37"/>
    <mergeCell ref="A38:E38"/>
    <mergeCell ref="A39:E39"/>
    <mergeCell ref="A1:E1"/>
    <mergeCell ref="A2:E2"/>
    <mergeCell ref="A3:E3"/>
    <mergeCell ref="A4:E4"/>
    <mergeCell ref="A5:E5"/>
  </mergeCells>
  <conditionalFormatting sqref="E12:E32">
    <cfRule type="notContainsBlanks" dxfId="66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  <pageSetUpPr fitToPage="1"/>
  </sheetPr>
  <dimension ref="A1:E42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1040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">
        <v>1</v>
      </c>
      <c r="B12" s="17" t="s">
        <v>1041</v>
      </c>
      <c r="C12" s="13" t="s">
        <v>81</v>
      </c>
      <c r="D12" s="98" t="s">
        <v>1042</v>
      </c>
      <c r="E12" s="18">
        <v>265000</v>
      </c>
    </row>
    <row r="13" spans="1:5" ht="15.75" customHeight="1">
      <c r="A13" s="11">
        <v>2</v>
      </c>
      <c r="B13" s="17" t="s">
        <v>1043</v>
      </c>
      <c r="C13" s="13" t="s">
        <v>143</v>
      </c>
      <c r="D13" s="98">
        <v>77</v>
      </c>
      <c r="E13" s="18">
        <v>86810</v>
      </c>
    </row>
    <row r="14" spans="1:5" ht="15.75" customHeight="1">
      <c r="A14" s="11">
        <v>3</v>
      </c>
      <c r="B14" s="17" t="s">
        <v>1044</v>
      </c>
      <c r="C14" s="13" t="s">
        <v>16</v>
      </c>
      <c r="D14" s="98">
        <v>27</v>
      </c>
      <c r="E14" s="18">
        <v>18800</v>
      </c>
    </row>
    <row r="15" spans="1:5" ht="15.75" customHeight="1">
      <c r="A15" s="11">
        <v>4</v>
      </c>
      <c r="B15" s="17" t="s">
        <v>1045</v>
      </c>
      <c r="C15" s="78" t="s">
        <v>269</v>
      </c>
      <c r="D15" s="98">
        <v>613</v>
      </c>
      <c r="E15" s="18">
        <v>87000</v>
      </c>
    </row>
    <row r="16" spans="1:5" ht="15.75" customHeight="1">
      <c r="A16" s="11">
        <v>6</v>
      </c>
      <c r="B16" s="17" t="s">
        <v>1046</v>
      </c>
      <c r="C16" s="78" t="s">
        <v>269</v>
      </c>
      <c r="D16" s="98">
        <v>652</v>
      </c>
      <c r="E16" s="18">
        <v>9800</v>
      </c>
    </row>
    <row r="17" spans="1:5" ht="15.75" customHeight="1">
      <c r="A17" s="11">
        <v>7</v>
      </c>
      <c r="B17" s="17" t="s">
        <v>1047</v>
      </c>
      <c r="C17" s="78" t="s">
        <v>1001</v>
      </c>
      <c r="D17" s="98">
        <v>20</v>
      </c>
      <c r="E17" s="18">
        <v>8000</v>
      </c>
    </row>
    <row r="18" spans="1:5" ht="15.75" customHeight="1">
      <c r="A18" s="11">
        <v>8</v>
      </c>
      <c r="B18" s="24" t="s">
        <v>1048</v>
      </c>
      <c r="C18" s="78" t="s">
        <v>16</v>
      </c>
      <c r="D18" s="78">
        <v>30</v>
      </c>
      <c r="E18" s="79">
        <v>35750</v>
      </c>
    </row>
    <row r="19" spans="1:5" ht="15.75" customHeight="1">
      <c r="A19" s="11">
        <v>9</v>
      </c>
      <c r="B19" s="24" t="s">
        <v>1049</v>
      </c>
      <c r="C19" s="13" t="s">
        <v>218</v>
      </c>
      <c r="D19" s="78">
        <v>19</v>
      </c>
      <c r="E19" s="18">
        <v>93000</v>
      </c>
    </row>
    <row r="20" spans="1:5" ht="15.75" customHeight="1">
      <c r="A20" s="11">
        <v>10</v>
      </c>
      <c r="B20" s="12" t="s">
        <v>1050</v>
      </c>
      <c r="C20" s="13" t="s">
        <v>890</v>
      </c>
      <c r="D20" s="13" t="s">
        <v>1051</v>
      </c>
      <c r="E20" s="14">
        <v>13200</v>
      </c>
    </row>
    <row r="21" spans="1:5" ht="15.75" customHeight="1">
      <c r="A21" s="11">
        <v>11</v>
      </c>
      <c r="B21" s="17" t="s">
        <v>1052</v>
      </c>
      <c r="C21" s="78" t="s">
        <v>1053</v>
      </c>
      <c r="D21" s="13">
        <v>60</v>
      </c>
      <c r="E21" s="18">
        <v>893000</v>
      </c>
    </row>
    <row r="22" spans="1:5" ht="15.75" customHeight="1">
      <c r="A22" s="11">
        <v>12</v>
      </c>
      <c r="B22" s="24" t="s">
        <v>1054</v>
      </c>
      <c r="C22" s="78" t="s">
        <v>160</v>
      </c>
      <c r="D22" s="78">
        <v>16</v>
      </c>
      <c r="E22" s="18">
        <v>1392964.1</v>
      </c>
    </row>
    <row r="23" spans="1:5" ht="15.75" customHeight="1">
      <c r="A23" s="11">
        <v>13</v>
      </c>
      <c r="B23" s="12" t="s">
        <v>1055</v>
      </c>
      <c r="C23" s="13" t="s">
        <v>45</v>
      </c>
      <c r="D23" s="13" t="s">
        <v>1056</v>
      </c>
      <c r="E23" s="14">
        <v>53500</v>
      </c>
    </row>
    <row r="24" spans="1:5" ht="15.75" customHeight="1">
      <c r="A24" s="11">
        <v>16</v>
      </c>
      <c r="B24" s="24" t="s">
        <v>1057</v>
      </c>
      <c r="C24" s="78" t="s">
        <v>1058</v>
      </c>
      <c r="D24" s="78" t="s">
        <v>1059</v>
      </c>
      <c r="E24" s="14">
        <v>75500</v>
      </c>
    </row>
    <row r="25" spans="1:5" ht="15.75" customHeight="1">
      <c r="A25" s="11">
        <v>17</v>
      </c>
      <c r="B25" s="17" t="s">
        <v>1060</v>
      </c>
      <c r="C25" s="78" t="s">
        <v>1061</v>
      </c>
      <c r="D25" s="98">
        <v>363</v>
      </c>
      <c r="E25" s="18">
        <v>50743</v>
      </c>
    </row>
    <row r="26" spans="1:5" ht="15.75" customHeight="1">
      <c r="A26" s="11">
        <v>18</v>
      </c>
      <c r="B26" s="92" t="s">
        <v>1062</v>
      </c>
      <c r="C26" s="78" t="s">
        <v>1061</v>
      </c>
      <c r="D26" s="98">
        <v>365</v>
      </c>
      <c r="E26" s="18">
        <v>43047</v>
      </c>
    </row>
    <row r="27" spans="1:5" ht="15.75" customHeight="1">
      <c r="A27" s="11">
        <v>19</v>
      </c>
      <c r="B27" s="17" t="s">
        <v>1063</v>
      </c>
      <c r="C27" s="78" t="s">
        <v>309</v>
      </c>
      <c r="D27" s="98" t="s">
        <v>1064</v>
      </c>
      <c r="E27" s="18">
        <v>29272.99</v>
      </c>
    </row>
    <row r="28" spans="1:5" ht="15.75" customHeight="1">
      <c r="A28" s="11">
        <v>20</v>
      </c>
      <c r="B28" s="17" t="s">
        <v>1065</v>
      </c>
      <c r="C28" s="78" t="s">
        <v>346</v>
      </c>
      <c r="D28" s="98">
        <v>257</v>
      </c>
      <c r="E28" s="18">
        <v>252450</v>
      </c>
    </row>
    <row r="29" spans="1:5" ht="15.75" customHeight="1">
      <c r="A29" s="11">
        <v>21</v>
      </c>
      <c r="B29" s="17" t="s">
        <v>1066</v>
      </c>
      <c r="C29" s="13" t="s">
        <v>16</v>
      </c>
      <c r="D29" s="98">
        <v>49</v>
      </c>
      <c r="E29" s="18">
        <v>37600</v>
      </c>
    </row>
    <row r="30" spans="1:5" ht="15.75" customHeight="1">
      <c r="A30" s="11">
        <v>22</v>
      </c>
      <c r="B30" s="17" t="s">
        <v>1067</v>
      </c>
      <c r="C30" s="13" t="s">
        <v>16</v>
      </c>
      <c r="D30" s="98">
        <v>57</v>
      </c>
      <c r="E30" s="18">
        <v>37770</v>
      </c>
    </row>
    <row r="31" spans="1:5" ht="15.75" customHeight="1">
      <c r="A31" s="11">
        <v>23</v>
      </c>
      <c r="B31" s="17" t="s">
        <v>1068</v>
      </c>
      <c r="C31" s="13" t="s">
        <v>783</v>
      </c>
      <c r="D31" s="98" t="s">
        <v>1069</v>
      </c>
      <c r="E31" s="18">
        <v>71950</v>
      </c>
    </row>
    <row r="32" spans="1:5" ht="15.75" customHeight="1">
      <c r="A32" s="11">
        <v>24</v>
      </c>
      <c r="B32" s="17" t="s">
        <v>1070</v>
      </c>
      <c r="C32" s="13" t="s">
        <v>1071</v>
      </c>
      <c r="D32" s="98">
        <v>36</v>
      </c>
      <c r="E32" s="18">
        <v>18999</v>
      </c>
    </row>
    <row r="33" spans="1:5" ht="15.75" customHeight="1">
      <c r="A33" s="11">
        <v>25</v>
      </c>
      <c r="B33" s="17" t="s">
        <v>1072</v>
      </c>
      <c r="C33" s="13" t="s">
        <v>896</v>
      </c>
      <c r="D33" s="98">
        <v>130</v>
      </c>
      <c r="E33" s="18">
        <v>63600</v>
      </c>
    </row>
    <row r="34" spans="1:5" ht="15.75" customHeight="1">
      <c r="A34" s="11">
        <v>26</v>
      </c>
      <c r="B34" s="17" t="s">
        <v>1073</v>
      </c>
      <c r="C34" s="13" t="s">
        <v>1074</v>
      </c>
      <c r="D34" s="98">
        <v>1239</v>
      </c>
      <c r="E34" s="18">
        <v>28690</v>
      </c>
    </row>
    <row r="35" spans="1:5" ht="15.75" customHeight="1">
      <c r="A35" s="8" t="s">
        <v>24</v>
      </c>
      <c r="B35" s="203"/>
      <c r="C35" s="204"/>
      <c r="D35" s="205"/>
      <c r="E35" s="49">
        <f>SUM(E12:E34)</f>
        <v>3666446.0900000003</v>
      </c>
    </row>
    <row r="36" spans="1:5" ht="15.75" customHeight="1">
      <c r="A36" s="198"/>
      <c r="B36" s="196"/>
      <c r="C36" s="196"/>
      <c r="D36" s="196"/>
      <c r="E36" s="196"/>
    </row>
    <row r="37" spans="1:5" ht="15.75" customHeight="1">
      <c r="A37" s="198" t="s">
        <v>1075</v>
      </c>
      <c r="B37" s="196"/>
      <c r="C37" s="196"/>
      <c r="D37" s="196"/>
      <c r="E37" s="27">
        <f>E35*8%</f>
        <v>293315.68720000004</v>
      </c>
    </row>
    <row r="38" spans="1:5" ht="14.25" customHeight="1">
      <c r="A38" s="198" t="s">
        <v>25</v>
      </c>
      <c r="B38" s="196"/>
      <c r="C38" s="196"/>
      <c r="D38" s="196"/>
      <c r="E38" s="196"/>
    </row>
    <row r="39" spans="1:5" ht="35.25" customHeight="1">
      <c r="A39" s="198"/>
      <c r="B39" s="196"/>
      <c r="C39" s="196"/>
      <c r="D39" s="196"/>
      <c r="E39" s="196"/>
    </row>
    <row r="40" spans="1:5" ht="15.75" customHeight="1">
      <c r="A40" s="198" t="s">
        <v>26</v>
      </c>
      <c r="B40" s="196"/>
      <c r="C40" s="196"/>
      <c r="D40" s="196"/>
      <c r="E40" s="196"/>
    </row>
    <row r="41" spans="1:5" ht="15.75" customHeight="1">
      <c r="A41" s="198" t="s">
        <v>27</v>
      </c>
      <c r="B41" s="196"/>
      <c r="C41" s="196"/>
      <c r="D41" s="196"/>
      <c r="E41" s="196"/>
    </row>
    <row r="42" spans="1:5" ht="15.75" customHeight="1">
      <c r="A42" s="198" t="s">
        <v>28</v>
      </c>
      <c r="B42" s="196"/>
      <c r="C42" s="196"/>
      <c r="D42" s="196"/>
      <c r="E42" s="196"/>
    </row>
  </sheetData>
  <mergeCells count="18">
    <mergeCell ref="A42:E42"/>
    <mergeCell ref="A8:E8"/>
    <mergeCell ref="A9:E9"/>
    <mergeCell ref="A10:E10"/>
    <mergeCell ref="B35:D35"/>
    <mergeCell ref="A36:E36"/>
    <mergeCell ref="A37:D37"/>
    <mergeCell ref="A38:E38"/>
    <mergeCell ref="A6:E6"/>
    <mergeCell ref="A7:E7"/>
    <mergeCell ref="A39:E39"/>
    <mergeCell ref="A40:E40"/>
    <mergeCell ref="A41:E41"/>
    <mergeCell ref="A1:E1"/>
    <mergeCell ref="A2:E2"/>
    <mergeCell ref="A3:E3"/>
    <mergeCell ref="A4:E4"/>
    <mergeCell ref="A5:E5"/>
  </mergeCells>
  <conditionalFormatting sqref="E12:E34">
    <cfRule type="notContainsBlanks" dxfId="65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  <pageSetUpPr fitToPage="1"/>
  </sheetPr>
  <dimension ref="A1:E46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1076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">
        <v>1</v>
      </c>
      <c r="B12" s="17" t="s">
        <v>1041</v>
      </c>
      <c r="C12" s="13" t="s">
        <v>81</v>
      </c>
      <c r="D12" s="98" t="s">
        <v>1042</v>
      </c>
      <c r="E12" s="18">
        <v>265000</v>
      </c>
    </row>
    <row r="13" spans="1:5" ht="15.75" customHeight="1">
      <c r="A13" s="11">
        <v>2</v>
      </c>
      <c r="B13" s="17" t="s">
        <v>1043</v>
      </c>
      <c r="C13" s="13" t="s">
        <v>143</v>
      </c>
      <c r="D13" s="98">
        <v>77</v>
      </c>
      <c r="E13" s="18">
        <v>86810</v>
      </c>
    </row>
    <row r="14" spans="1:5" ht="15.75" customHeight="1">
      <c r="A14" s="11">
        <v>3</v>
      </c>
      <c r="B14" s="17" t="s">
        <v>1044</v>
      </c>
      <c r="C14" s="13" t="s">
        <v>16</v>
      </c>
      <c r="D14" s="98">
        <v>27</v>
      </c>
      <c r="E14" s="18">
        <v>18800</v>
      </c>
    </row>
    <row r="15" spans="1:5" ht="15.75" customHeight="1">
      <c r="A15" s="11">
        <v>4</v>
      </c>
      <c r="B15" s="17" t="s">
        <v>1045</v>
      </c>
      <c r="C15" s="78" t="s">
        <v>269</v>
      </c>
      <c r="D15" s="98">
        <v>613</v>
      </c>
      <c r="E15" s="18">
        <v>87000</v>
      </c>
    </row>
    <row r="16" spans="1:5" ht="15.75" customHeight="1">
      <c r="A16" s="11">
        <v>5</v>
      </c>
      <c r="B16" s="17" t="s">
        <v>1077</v>
      </c>
      <c r="C16" s="78" t="s">
        <v>1078</v>
      </c>
      <c r="D16" s="98">
        <v>82</v>
      </c>
      <c r="E16" s="18">
        <v>1950</v>
      </c>
    </row>
    <row r="17" spans="1:5" ht="15.75" customHeight="1">
      <c r="A17" s="11">
        <v>6</v>
      </c>
      <c r="B17" s="17" t="s">
        <v>1046</v>
      </c>
      <c r="C17" s="78" t="s">
        <v>269</v>
      </c>
      <c r="D17" s="98">
        <v>652</v>
      </c>
      <c r="E17" s="18">
        <v>9800</v>
      </c>
    </row>
    <row r="18" spans="1:5" ht="15.75" customHeight="1">
      <c r="A18" s="11">
        <v>7</v>
      </c>
      <c r="B18" s="17" t="s">
        <v>1047</v>
      </c>
      <c r="C18" s="78" t="s">
        <v>1001</v>
      </c>
      <c r="D18" s="98">
        <v>20</v>
      </c>
      <c r="E18" s="18">
        <v>8000</v>
      </c>
    </row>
    <row r="19" spans="1:5" ht="15.75" customHeight="1">
      <c r="A19" s="11">
        <v>8</v>
      </c>
      <c r="B19" s="24" t="s">
        <v>1048</v>
      </c>
      <c r="C19" s="78" t="s">
        <v>16</v>
      </c>
      <c r="D19" s="78">
        <v>30</v>
      </c>
      <c r="E19" s="79">
        <v>35750</v>
      </c>
    </row>
    <row r="20" spans="1:5" ht="15.75" customHeight="1">
      <c r="A20" s="11">
        <v>9</v>
      </c>
      <c r="B20" s="24" t="s">
        <v>1049</v>
      </c>
      <c r="C20" s="13" t="s">
        <v>218</v>
      </c>
      <c r="D20" s="78">
        <v>19</v>
      </c>
      <c r="E20" s="18">
        <v>93000</v>
      </c>
    </row>
    <row r="21" spans="1:5" ht="15.75" customHeight="1">
      <c r="A21" s="11">
        <v>10</v>
      </c>
      <c r="B21" s="12" t="s">
        <v>1050</v>
      </c>
      <c r="C21" s="13" t="s">
        <v>890</v>
      </c>
      <c r="D21" s="13" t="s">
        <v>1051</v>
      </c>
      <c r="E21" s="14">
        <v>13200</v>
      </c>
    </row>
    <row r="22" spans="1:5" ht="15.75" customHeight="1">
      <c r="A22" s="11">
        <v>11</v>
      </c>
      <c r="B22" s="17" t="s">
        <v>1052</v>
      </c>
      <c r="C22" s="78" t="s">
        <v>1053</v>
      </c>
      <c r="D22" s="13">
        <v>60</v>
      </c>
      <c r="E22" s="18">
        <v>893000</v>
      </c>
    </row>
    <row r="23" spans="1:5" ht="15.75" customHeight="1">
      <c r="A23" s="11">
        <v>12</v>
      </c>
      <c r="B23" s="24" t="s">
        <v>1054</v>
      </c>
      <c r="C23" s="78" t="s">
        <v>160</v>
      </c>
      <c r="D23" s="78">
        <v>16</v>
      </c>
      <c r="E23" s="18">
        <v>3664206.56</v>
      </c>
    </row>
    <row r="24" spans="1:5" ht="15.75" customHeight="1">
      <c r="A24" s="11">
        <v>13</v>
      </c>
      <c r="B24" s="12" t="s">
        <v>1055</v>
      </c>
      <c r="C24" s="13" t="s">
        <v>45</v>
      </c>
      <c r="D24" s="13" t="s">
        <v>1056</v>
      </c>
      <c r="E24" s="14">
        <v>53500</v>
      </c>
    </row>
    <row r="25" spans="1:5" ht="15.75" customHeight="1">
      <c r="A25" s="11">
        <v>14</v>
      </c>
      <c r="B25" s="24" t="s">
        <v>1079</v>
      </c>
      <c r="C25" s="13" t="s">
        <v>16</v>
      </c>
      <c r="D25" s="13">
        <v>40</v>
      </c>
      <c r="E25" s="14">
        <v>11220</v>
      </c>
    </row>
    <row r="26" spans="1:5" ht="15.75" customHeight="1">
      <c r="A26" s="11">
        <v>15</v>
      </c>
      <c r="B26" s="24" t="s">
        <v>1080</v>
      </c>
      <c r="C26" s="13" t="s">
        <v>16</v>
      </c>
      <c r="D26" s="98">
        <v>41</v>
      </c>
      <c r="E26" s="14">
        <v>6200</v>
      </c>
    </row>
    <row r="27" spans="1:5" ht="15.75" customHeight="1">
      <c r="A27" s="11">
        <v>16</v>
      </c>
      <c r="B27" s="24" t="s">
        <v>1057</v>
      </c>
      <c r="C27" s="78" t="s">
        <v>1058</v>
      </c>
      <c r="D27" s="78" t="s">
        <v>1059</v>
      </c>
      <c r="E27" s="14">
        <v>75500</v>
      </c>
    </row>
    <row r="28" spans="1:5" ht="15.75" customHeight="1">
      <c r="A28" s="11">
        <v>17</v>
      </c>
      <c r="B28" s="17" t="s">
        <v>1060</v>
      </c>
      <c r="C28" s="78" t="s">
        <v>1061</v>
      </c>
      <c r="D28" s="98">
        <v>363</v>
      </c>
      <c r="E28" s="18">
        <v>50743</v>
      </c>
    </row>
    <row r="29" spans="1:5" ht="15.75" customHeight="1">
      <c r="A29" s="11">
        <v>18</v>
      </c>
      <c r="B29" s="92" t="s">
        <v>1062</v>
      </c>
      <c r="C29" s="78" t="s">
        <v>1061</v>
      </c>
      <c r="D29" s="98">
        <v>365</v>
      </c>
      <c r="E29" s="18">
        <v>43047</v>
      </c>
    </row>
    <row r="30" spans="1:5" ht="15.75" customHeight="1">
      <c r="A30" s="11">
        <v>19</v>
      </c>
      <c r="B30" s="17" t="s">
        <v>1063</v>
      </c>
      <c r="C30" s="78" t="s">
        <v>309</v>
      </c>
      <c r="D30" s="98" t="s">
        <v>1064</v>
      </c>
      <c r="E30" s="18">
        <v>29272.99</v>
      </c>
    </row>
    <row r="31" spans="1:5" ht="15.75" customHeight="1">
      <c r="A31" s="11">
        <v>20</v>
      </c>
      <c r="B31" s="17" t="s">
        <v>1065</v>
      </c>
      <c r="C31" s="78" t="s">
        <v>346</v>
      </c>
      <c r="D31" s="98">
        <v>257</v>
      </c>
      <c r="E31" s="18">
        <v>252450</v>
      </c>
    </row>
    <row r="32" spans="1:5" ht="15.75" customHeight="1">
      <c r="A32" s="11">
        <v>21</v>
      </c>
      <c r="B32" s="17" t="s">
        <v>1066</v>
      </c>
      <c r="C32" s="13" t="s">
        <v>16</v>
      </c>
      <c r="D32" s="98">
        <v>49</v>
      </c>
      <c r="E32" s="18">
        <v>37600</v>
      </c>
    </row>
    <row r="33" spans="1:5" ht="15.75" customHeight="1">
      <c r="A33" s="11">
        <v>22</v>
      </c>
      <c r="B33" s="17" t="s">
        <v>1067</v>
      </c>
      <c r="C33" s="13" t="s">
        <v>16</v>
      </c>
      <c r="D33" s="98">
        <v>57</v>
      </c>
      <c r="E33" s="18">
        <v>37770</v>
      </c>
    </row>
    <row r="34" spans="1:5" ht="15.75" customHeight="1">
      <c r="A34" s="11">
        <v>23</v>
      </c>
      <c r="B34" s="17" t="s">
        <v>1068</v>
      </c>
      <c r="C34" s="13" t="s">
        <v>783</v>
      </c>
      <c r="D34" s="98" t="s">
        <v>1069</v>
      </c>
      <c r="E34" s="18">
        <v>71950</v>
      </c>
    </row>
    <row r="35" spans="1:5" ht="15.75" customHeight="1">
      <c r="A35" s="11">
        <v>24</v>
      </c>
      <c r="B35" s="17" t="s">
        <v>1070</v>
      </c>
      <c r="C35" s="13" t="s">
        <v>1071</v>
      </c>
      <c r="D35" s="98">
        <v>36</v>
      </c>
      <c r="E35" s="18">
        <v>18999</v>
      </c>
    </row>
    <row r="36" spans="1:5" ht="15.75" customHeight="1">
      <c r="A36" s="11">
        <v>25</v>
      </c>
      <c r="B36" s="17" t="s">
        <v>1072</v>
      </c>
      <c r="C36" s="13" t="s">
        <v>896</v>
      </c>
      <c r="D36" s="98">
        <v>130</v>
      </c>
      <c r="E36" s="18">
        <v>63600</v>
      </c>
    </row>
    <row r="37" spans="1:5" ht="15.75" customHeight="1">
      <c r="A37" s="11">
        <v>26</v>
      </c>
      <c r="B37" s="17" t="s">
        <v>1073</v>
      </c>
      <c r="C37" s="13" t="s">
        <v>1074</v>
      </c>
      <c r="D37" s="98">
        <v>1239</v>
      </c>
      <c r="E37" s="18">
        <v>28690</v>
      </c>
    </row>
    <row r="38" spans="1:5" ht="15.75" customHeight="1">
      <c r="A38" s="11">
        <v>27</v>
      </c>
      <c r="B38" s="17" t="s">
        <v>1081</v>
      </c>
      <c r="C38" s="13" t="s">
        <v>378</v>
      </c>
      <c r="D38" s="98">
        <v>103</v>
      </c>
      <c r="E38" s="18">
        <v>42400</v>
      </c>
    </row>
    <row r="39" spans="1:5" ht="15.75" customHeight="1">
      <c r="A39" s="8" t="s">
        <v>24</v>
      </c>
      <c r="B39" s="203"/>
      <c r="C39" s="204"/>
      <c r="D39" s="205"/>
      <c r="E39" s="49">
        <f>SUM(E12:E38)</f>
        <v>5999458.5500000007</v>
      </c>
    </row>
    <row r="40" spans="1:5" ht="15.75" customHeight="1">
      <c r="A40" s="198"/>
      <c r="B40" s="196"/>
      <c r="C40" s="196"/>
      <c r="D40" s="196"/>
      <c r="E40" s="196"/>
    </row>
    <row r="41" spans="1:5" ht="15.75" customHeight="1">
      <c r="A41" s="198" t="s">
        <v>1082</v>
      </c>
      <c r="B41" s="196"/>
      <c r="C41" s="196"/>
      <c r="D41" s="196"/>
      <c r="E41" s="27">
        <f>IF(E39&gt;=10000000,5000000*2%+5000000*1%+(E39-10000000)*0.5%,IF(E39&gt;=5000000,5000000*2%+(E39-5000000)*1%,E39*2%))</f>
        <v>109994.58550000002</v>
      </c>
    </row>
    <row r="42" spans="1:5" ht="14.25" customHeight="1">
      <c r="A42" s="198" t="s">
        <v>25</v>
      </c>
      <c r="B42" s="196"/>
      <c r="C42" s="196"/>
      <c r="D42" s="196"/>
      <c r="E42" s="196"/>
    </row>
    <row r="43" spans="1:5" ht="35.25" customHeight="1">
      <c r="A43" s="198"/>
      <c r="B43" s="196"/>
      <c r="C43" s="196"/>
      <c r="D43" s="196"/>
      <c r="E43" s="196"/>
    </row>
    <row r="44" spans="1:5" ht="15.75" customHeight="1">
      <c r="A44" s="198" t="s">
        <v>26</v>
      </c>
      <c r="B44" s="196"/>
      <c r="C44" s="196"/>
      <c r="D44" s="196"/>
      <c r="E44" s="196"/>
    </row>
    <row r="45" spans="1:5" ht="15.75" customHeight="1">
      <c r="A45" s="198" t="s">
        <v>27</v>
      </c>
      <c r="B45" s="196"/>
      <c r="C45" s="196"/>
      <c r="D45" s="196"/>
      <c r="E45" s="196"/>
    </row>
    <row r="46" spans="1:5" ht="15.75" customHeight="1">
      <c r="A46" s="198" t="s">
        <v>28</v>
      </c>
      <c r="B46" s="196"/>
      <c r="C46" s="196"/>
      <c r="D46" s="196"/>
      <c r="E46" s="196"/>
    </row>
  </sheetData>
  <mergeCells count="18">
    <mergeCell ref="A46:E46"/>
    <mergeCell ref="A8:E8"/>
    <mergeCell ref="A9:E9"/>
    <mergeCell ref="A10:E10"/>
    <mergeCell ref="B39:D39"/>
    <mergeCell ref="A40:E40"/>
    <mergeCell ref="A41:D41"/>
    <mergeCell ref="A42:E42"/>
    <mergeCell ref="A6:E6"/>
    <mergeCell ref="A7:E7"/>
    <mergeCell ref="A43:E43"/>
    <mergeCell ref="A44:E44"/>
    <mergeCell ref="A45:E45"/>
    <mergeCell ref="A1:E1"/>
    <mergeCell ref="A2:E2"/>
    <mergeCell ref="A3:E3"/>
    <mergeCell ref="A4:E4"/>
    <mergeCell ref="A5:E5"/>
  </mergeCells>
  <conditionalFormatting sqref="E12:E38">
    <cfRule type="notContainsBlanks" dxfId="64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  <pageSetUpPr fitToPage="1"/>
  </sheetPr>
  <dimension ref="A1:E49"/>
  <sheetViews>
    <sheetView showGridLines="0"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1083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">
        <v>1</v>
      </c>
      <c r="B12" s="17" t="s">
        <v>1084</v>
      </c>
      <c r="C12" s="13" t="s">
        <v>1085</v>
      </c>
      <c r="D12" s="98">
        <v>21</v>
      </c>
      <c r="E12" s="18">
        <v>85008</v>
      </c>
    </row>
    <row r="13" spans="1:5" ht="15.75" customHeight="1">
      <c r="A13" s="11">
        <v>2</v>
      </c>
      <c r="B13" s="17" t="s">
        <v>1086</v>
      </c>
      <c r="C13" s="78" t="s">
        <v>353</v>
      </c>
      <c r="D13" s="98">
        <v>173</v>
      </c>
      <c r="E13" s="18">
        <v>14400</v>
      </c>
    </row>
    <row r="14" spans="1:5" ht="15.75" customHeight="1">
      <c r="A14" s="11">
        <v>3</v>
      </c>
      <c r="B14" s="17" t="s">
        <v>1087</v>
      </c>
      <c r="C14" s="13" t="s">
        <v>16</v>
      </c>
      <c r="D14" s="98">
        <v>61</v>
      </c>
      <c r="E14" s="18">
        <v>15450</v>
      </c>
    </row>
    <row r="15" spans="1:5" ht="15.75" customHeight="1">
      <c r="A15" s="11">
        <v>4</v>
      </c>
      <c r="B15" s="17" t="s">
        <v>1088</v>
      </c>
      <c r="C15" s="13" t="s">
        <v>1089</v>
      </c>
      <c r="D15" s="98">
        <v>11</v>
      </c>
      <c r="E15" s="18">
        <v>305000</v>
      </c>
    </row>
    <row r="16" spans="1:5" ht="15.75" customHeight="1">
      <c r="A16" s="11">
        <v>5</v>
      </c>
      <c r="B16" s="17" t="s">
        <v>1090</v>
      </c>
      <c r="C16" s="13" t="s">
        <v>131</v>
      </c>
      <c r="D16" s="98">
        <v>406</v>
      </c>
      <c r="E16" s="18">
        <v>16950</v>
      </c>
    </row>
    <row r="17" spans="1:5" ht="15.75" customHeight="1">
      <c r="A17" s="11">
        <v>6</v>
      </c>
      <c r="B17" s="80" t="s">
        <v>1091</v>
      </c>
      <c r="C17" s="13" t="s">
        <v>16</v>
      </c>
      <c r="D17" s="78">
        <v>31</v>
      </c>
      <c r="E17" s="14">
        <v>475668</v>
      </c>
    </row>
    <row r="18" spans="1:5" ht="15.75" customHeight="1">
      <c r="A18" s="11">
        <v>7</v>
      </c>
      <c r="B18" s="12" t="s">
        <v>1092</v>
      </c>
      <c r="C18" s="13" t="s">
        <v>1093</v>
      </c>
      <c r="D18" s="13">
        <v>33</v>
      </c>
      <c r="E18" s="14">
        <v>222412.79999999999</v>
      </c>
    </row>
    <row r="19" spans="1:5" ht="15.75" customHeight="1">
      <c r="A19" s="11">
        <v>8</v>
      </c>
      <c r="B19" s="80" t="s">
        <v>1094</v>
      </c>
      <c r="C19" s="13" t="s">
        <v>1093</v>
      </c>
      <c r="D19" s="78">
        <v>34</v>
      </c>
      <c r="E19" s="14">
        <v>194778</v>
      </c>
    </row>
    <row r="20" spans="1:5" ht="15.75" customHeight="1">
      <c r="A20" s="11">
        <v>9</v>
      </c>
      <c r="B20" s="17" t="s">
        <v>1095</v>
      </c>
      <c r="C20" s="78" t="s">
        <v>378</v>
      </c>
      <c r="D20" s="13">
        <v>703</v>
      </c>
      <c r="E20" s="18">
        <v>9545</v>
      </c>
    </row>
    <row r="21" spans="1:5" ht="15.75" customHeight="1">
      <c r="A21" s="11">
        <v>10</v>
      </c>
      <c r="B21" s="24" t="s">
        <v>1096</v>
      </c>
      <c r="C21" s="78" t="s">
        <v>1097</v>
      </c>
      <c r="D21" s="78" t="s">
        <v>1098</v>
      </c>
      <c r="E21" s="18">
        <v>28500</v>
      </c>
    </row>
    <row r="22" spans="1:5" ht="15.75" customHeight="1">
      <c r="A22" s="11">
        <v>11</v>
      </c>
      <c r="B22" s="12" t="s">
        <v>1099</v>
      </c>
      <c r="C22" s="13" t="s">
        <v>638</v>
      </c>
      <c r="D22" s="13" t="s">
        <v>1100</v>
      </c>
      <c r="E22" s="14">
        <v>116800</v>
      </c>
    </row>
    <row r="23" spans="1:5" ht="15.75" customHeight="1">
      <c r="A23" s="11">
        <v>12</v>
      </c>
      <c r="B23" s="24" t="s">
        <v>1101</v>
      </c>
      <c r="C23" s="13" t="s">
        <v>16</v>
      </c>
      <c r="D23" s="13">
        <v>71</v>
      </c>
      <c r="E23" s="14">
        <v>83920</v>
      </c>
    </row>
    <row r="24" spans="1:5" ht="15.75" customHeight="1">
      <c r="A24" s="11">
        <v>13</v>
      </c>
      <c r="B24" s="24" t="s">
        <v>1102</v>
      </c>
      <c r="C24" s="13" t="s">
        <v>16</v>
      </c>
      <c r="D24" s="98">
        <v>70</v>
      </c>
      <c r="E24" s="14">
        <v>28974</v>
      </c>
    </row>
    <row r="25" spans="1:5" ht="15.75" customHeight="1">
      <c r="A25" s="11">
        <v>14</v>
      </c>
      <c r="B25" s="24" t="s">
        <v>1103</v>
      </c>
      <c r="C25" s="13" t="s">
        <v>1089</v>
      </c>
      <c r="D25" s="78">
        <v>13</v>
      </c>
      <c r="E25" s="14">
        <v>20000</v>
      </c>
    </row>
    <row r="26" spans="1:5" ht="15.75" customHeight="1">
      <c r="A26" s="11">
        <v>15</v>
      </c>
      <c r="B26" s="17" t="s">
        <v>1104</v>
      </c>
      <c r="C26" s="78" t="s">
        <v>877</v>
      </c>
      <c r="D26" s="98">
        <v>126</v>
      </c>
      <c r="E26" s="18">
        <v>34600</v>
      </c>
    </row>
    <row r="27" spans="1:5" ht="15.75" customHeight="1">
      <c r="A27" s="11">
        <v>16</v>
      </c>
      <c r="B27" s="92" t="s">
        <v>1105</v>
      </c>
      <c r="C27" s="78" t="s">
        <v>877</v>
      </c>
      <c r="D27" s="98">
        <v>133</v>
      </c>
      <c r="E27" s="18">
        <v>3000</v>
      </c>
    </row>
    <row r="28" spans="1:5" ht="15.75" customHeight="1">
      <c r="A28" s="11">
        <v>17</v>
      </c>
      <c r="B28" s="17" t="s">
        <v>1106</v>
      </c>
      <c r="C28" s="13" t="s">
        <v>16</v>
      </c>
      <c r="D28" s="98">
        <v>85</v>
      </c>
      <c r="E28" s="18">
        <v>8380</v>
      </c>
    </row>
    <row r="29" spans="1:5" ht="15.75" customHeight="1">
      <c r="A29" s="11">
        <v>18</v>
      </c>
      <c r="B29" s="17" t="s">
        <v>1107</v>
      </c>
      <c r="C29" s="13" t="s">
        <v>16</v>
      </c>
      <c r="D29" s="98">
        <v>72</v>
      </c>
      <c r="E29" s="18">
        <v>26800</v>
      </c>
    </row>
    <row r="30" spans="1:5" ht="15.75" customHeight="1">
      <c r="A30" s="11">
        <v>19</v>
      </c>
      <c r="B30" s="17" t="s">
        <v>1108</v>
      </c>
      <c r="C30" s="78" t="s">
        <v>1109</v>
      </c>
      <c r="D30" s="98">
        <v>76</v>
      </c>
      <c r="E30" s="18">
        <v>61060</v>
      </c>
    </row>
    <row r="31" spans="1:5" ht="15.75" customHeight="1">
      <c r="A31" s="11">
        <v>20</v>
      </c>
      <c r="B31" s="17" t="s">
        <v>1110</v>
      </c>
      <c r="C31" s="13" t="s">
        <v>1111</v>
      </c>
      <c r="D31" s="98">
        <v>1418</v>
      </c>
      <c r="E31" s="18">
        <v>79250</v>
      </c>
    </row>
    <row r="32" spans="1:5" ht="15.75" customHeight="1">
      <c r="A32" s="11">
        <v>21</v>
      </c>
      <c r="B32" s="17" t="s">
        <v>1081</v>
      </c>
      <c r="C32" s="78" t="s">
        <v>378</v>
      </c>
      <c r="D32" s="98">
        <v>2103</v>
      </c>
      <c r="E32" s="18">
        <v>42400</v>
      </c>
    </row>
    <row r="33" spans="1:5" ht="15.75" customHeight="1">
      <c r="A33" s="11">
        <v>22</v>
      </c>
      <c r="B33" s="17" t="s">
        <v>1112</v>
      </c>
      <c r="C33" s="13" t="s">
        <v>1113</v>
      </c>
      <c r="D33" s="98">
        <v>92</v>
      </c>
      <c r="E33" s="18">
        <v>60000</v>
      </c>
    </row>
    <row r="34" spans="1:5" ht="15.75" customHeight="1">
      <c r="A34" s="11">
        <v>23</v>
      </c>
      <c r="B34" s="17" t="s">
        <v>1114</v>
      </c>
      <c r="C34" s="13" t="s">
        <v>19</v>
      </c>
      <c r="D34" s="98" t="s">
        <v>1115</v>
      </c>
      <c r="E34" s="18">
        <v>11048.26</v>
      </c>
    </row>
    <row r="35" spans="1:5" ht="15.75" customHeight="1">
      <c r="A35" s="11">
        <v>24</v>
      </c>
      <c r="B35" s="17" t="s">
        <v>1116</v>
      </c>
      <c r="C35" s="13" t="s">
        <v>16</v>
      </c>
      <c r="D35" s="98">
        <v>105</v>
      </c>
      <c r="E35" s="18">
        <v>13540</v>
      </c>
    </row>
    <row r="36" spans="1:5" ht="15.75" customHeight="1">
      <c r="A36" s="11">
        <v>25</v>
      </c>
      <c r="B36" s="17" t="s">
        <v>1117</v>
      </c>
      <c r="C36" s="13" t="s">
        <v>16</v>
      </c>
      <c r="D36" s="98">
        <v>106</v>
      </c>
      <c r="E36" s="18">
        <v>7000</v>
      </c>
    </row>
    <row r="37" spans="1:5" ht="15.75" customHeight="1">
      <c r="A37" s="11">
        <v>26</v>
      </c>
      <c r="B37" s="17" t="s">
        <v>1118</v>
      </c>
      <c r="C37" s="13" t="s">
        <v>915</v>
      </c>
      <c r="D37" s="98">
        <v>47</v>
      </c>
      <c r="E37" s="18">
        <v>73500</v>
      </c>
    </row>
    <row r="38" spans="1:5" ht="15.75" customHeight="1">
      <c r="A38" s="11">
        <v>27</v>
      </c>
      <c r="B38" s="17" t="s">
        <v>1119</v>
      </c>
      <c r="C38" s="13" t="s">
        <v>81</v>
      </c>
      <c r="D38" s="98" t="s">
        <v>1120</v>
      </c>
      <c r="E38" s="18">
        <v>32000</v>
      </c>
    </row>
    <row r="39" spans="1:5" ht="15.75" customHeight="1">
      <c r="A39" s="11">
        <v>28</v>
      </c>
      <c r="B39" s="17" t="s">
        <v>1121</v>
      </c>
      <c r="C39" s="13" t="s">
        <v>16</v>
      </c>
      <c r="D39" s="98">
        <v>87</v>
      </c>
      <c r="E39" s="18">
        <v>3551</v>
      </c>
    </row>
    <row r="40" spans="1:5" ht="15.75" customHeight="1">
      <c r="A40" s="11">
        <v>29</v>
      </c>
      <c r="B40" s="17" t="s">
        <v>1122</v>
      </c>
      <c r="C40" s="78" t="s">
        <v>269</v>
      </c>
      <c r="D40" s="13">
        <v>1671</v>
      </c>
      <c r="E40" s="18">
        <v>59000</v>
      </c>
    </row>
    <row r="41" spans="1:5" ht="15.75" customHeight="1">
      <c r="A41" s="8" t="s">
        <v>24</v>
      </c>
      <c r="B41" s="203"/>
      <c r="C41" s="204"/>
      <c r="D41" s="205"/>
      <c r="E41" s="49">
        <f>SUM(E12:E40)</f>
        <v>2132535.06</v>
      </c>
    </row>
    <row r="42" spans="1:5" ht="15.75" customHeight="1">
      <c r="A42" s="198"/>
      <c r="B42" s="196"/>
      <c r="C42" s="196"/>
      <c r="D42" s="196"/>
      <c r="E42" s="196"/>
    </row>
    <row r="43" spans="1:5" ht="15.75" customHeight="1">
      <c r="A43" s="198" t="s">
        <v>1123</v>
      </c>
      <c r="B43" s="196"/>
      <c r="C43" s="196"/>
      <c r="D43" s="196"/>
      <c r="E43" s="27">
        <f>IF(E41&gt;=10000000,5000000*2%+5000000*1%+(E41-10000000)*0.5%,IF(E41&gt;=5000000,5000000*2%+(E41-5000000)*1%,E41*2%))</f>
        <v>42650.701200000003</v>
      </c>
    </row>
    <row r="44" spans="1:5" ht="14.25" customHeight="1">
      <c r="A44" s="198" t="s">
        <v>25</v>
      </c>
      <c r="B44" s="196"/>
      <c r="C44" s="196"/>
      <c r="D44" s="196"/>
      <c r="E44" s="196"/>
    </row>
    <row r="45" spans="1:5" ht="35.25" customHeight="1">
      <c r="A45" s="198"/>
      <c r="B45" s="196"/>
      <c r="C45" s="196"/>
      <c r="D45" s="196"/>
      <c r="E45" s="196"/>
    </row>
    <row r="46" spans="1:5" ht="15.75" customHeight="1">
      <c r="A46" s="198" t="s">
        <v>26</v>
      </c>
      <c r="B46" s="196"/>
      <c r="C46" s="196"/>
      <c r="D46" s="196"/>
      <c r="E46" s="196"/>
    </row>
    <row r="47" spans="1:5" ht="15.75" customHeight="1">
      <c r="A47" s="198" t="s">
        <v>27</v>
      </c>
      <c r="B47" s="196"/>
      <c r="C47" s="196"/>
      <c r="D47" s="196"/>
      <c r="E47" s="196"/>
    </row>
    <row r="48" spans="1:5" ht="15.75" customHeight="1">
      <c r="A48" s="198" t="s">
        <v>28</v>
      </c>
      <c r="B48" s="196"/>
      <c r="C48" s="196"/>
      <c r="D48" s="196"/>
      <c r="E48" s="196"/>
    </row>
    <row r="49" spans="1:5" ht="15.75" customHeight="1">
      <c r="A49" s="6"/>
      <c r="B49" s="6"/>
      <c r="C49" s="6"/>
      <c r="D49" s="6"/>
      <c r="E49" s="6"/>
    </row>
  </sheetData>
  <mergeCells count="18">
    <mergeCell ref="A48:E48"/>
    <mergeCell ref="A8:E8"/>
    <mergeCell ref="A9:E9"/>
    <mergeCell ref="A10:E10"/>
    <mergeCell ref="B41:D41"/>
    <mergeCell ref="A42:E42"/>
    <mergeCell ref="A43:D43"/>
    <mergeCell ref="A44:E44"/>
    <mergeCell ref="A6:E6"/>
    <mergeCell ref="A7:E7"/>
    <mergeCell ref="A45:E45"/>
    <mergeCell ref="A46:E46"/>
    <mergeCell ref="A47:E47"/>
    <mergeCell ref="A1:E1"/>
    <mergeCell ref="A2:E2"/>
    <mergeCell ref="A3:E3"/>
    <mergeCell ref="A4:E4"/>
    <mergeCell ref="A5:E5"/>
  </mergeCells>
  <conditionalFormatting sqref="E12:E40">
    <cfRule type="notContainsBlanks" dxfId="63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  <pageSetUpPr fitToPage="1"/>
  </sheetPr>
  <dimension ref="A1:E51"/>
  <sheetViews>
    <sheetView showGridLines="0"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1124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">
        <v>1</v>
      </c>
      <c r="B12" s="17" t="s">
        <v>1084</v>
      </c>
      <c r="C12" s="13" t="s">
        <v>1085</v>
      </c>
      <c r="D12" s="98">
        <v>21</v>
      </c>
      <c r="E12" s="18">
        <v>85008</v>
      </c>
    </row>
    <row r="13" spans="1:5" ht="15.75" customHeight="1">
      <c r="A13" s="11">
        <v>2</v>
      </c>
      <c r="B13" s="17" t="s">
        <v>1086</v>
      </c>
      <c r="C13" s="78" t="s">
        <v>353</v>
      </c>
      <c r="D13" s="98">
        <v>173</v>
      </c>
      <c r="E13" s="18">
        <v>14400</v>
      </c>
    </row>
    <row r="14" spans="1:5" ht="15.75" customHeight="1">
      <c r="A14" s="11">
        <v>3</v>
      </c>
      <c r="B14" s="17" t="s">
        <v>1087</v>
      </c>
      <c r="C14" s="13" t="s">
        <v>16</v>
      </c>
      <c r="D14" s="98">
        <v>61</v>
      </c>
      <c r="E14" s="18">
        <v>15450</v>
      </c>
    </row>
    <row r="15" spans="1:5" ht="15.75" customHeight="1">
      <c r="A15" s="11">
        <v>4</v>
      </c>
      <c r="B15" s="17" t="s">
        <v>1088</v>
      </c>
      <c r="C15" s="13" t="s">
        <v>1089</v>
      </c>
      <c r="D15" s="98">
        <v>11</v>
      </c>
      <c r="E15" s="18">
        <v>305000</v>
      </c>
    </row>
    <row r="16" spans="1:5" ht="15.75" customHeight="1">
      <c r="A16" s="11">
        <v>5</v>
      </c>
      <c r="B16" s="17" t="s">
        <v>1090</v>
      </c>
      <c r="C16" s="13" t="s">
        <v>131</v>
      </c>
      <c r="D16" s="98">
        <v>406</v>
      </c>
      <c r="E16" s="18">
        <v>16950</v>
      </c>
    </row>
    <row r="17" spans="1:5" ht="15.75" customHeight="1">
      <c r="A17" s="11">
        <v>6</v>
      </c>
      <c r="B17" s="80" t="s">
        <v>1091</v>
      </c>
      <c r="C17" s="13" t="s">
        <v>16</v>
      </c>
      <c r="D17" s="78">
        <v>31</v>
      </c>
      <c r="E17" s="14">
        <v>475240.6</v>
      </c>
    </row>
    <row r="18" spans="1:5" ht="15.75" customHeight="1">
      <c r="A18" s="11">
        <v>7</v>
      </c>
      <c r="B18" s="12" t="s">
        <v>1092</v>
      </c>
      <c r="C18" s="13" t="s">
        <v>1093</v>
      </c>
      <c r="D18" s="13">
        <v>33</v>
      </c>
      <c r="E18" s="14">
        <v>222412.79999999999</v>
      </c>
    </row>
    <row r="19" spans="1:5" ht="15.75" customHeight="1">
      <c r="A19" s="11">
        <v>8</v>
      </c>
      <c r="B19" s="80" t="s">
        <v>1094</v>
      </c>
      <c r="C19" s="13" t="s">
        <v>1093</v>
      </c>
      <c r="D19" s="78">
        <v>34</v>
      </c>
      <c r="E19" s="14">
        <v>194778</v>
      </c>
    </row>
    <row r="20" spans="1:5" ht="15.75" customHeight="1">
      <c r="A20" s="11">
        <v>9</v>
      </c>
      <c r="B20" s="17" t="s">
        <v>1125</v>
      </c>
      <c r="C20" s="78" t="s">
        <v>1126</v>
      </c>
      <c r="D20" s="13">
        <v>119925672</v>
      </c>
      <c r="E20" s="18">
        <v>22960</v>
      </c>
    </row>
    <row r="21" spans="1:5" ht="15.75" customHeight="1">
      <c r="A21" s="11">
        <v>10</v>
      </c>
      <c r="B21" s="17" t="s">
        <v>1127</v>
      </c>
      <c r="C21" s="78" t="s">
        <v>48</v>
      </c>
      <c r="D21" s="13" t="s">
        <v>1128</v>
      </c>
      <c r="E21" s="18">
        <v>19682.04</v>
      </c>
    </row>
    <row r="22" spans="1:5" ht="15.75" customHeight="1">
      <c r="A22" s="11">
        <v>11</v>
      </c>
      <c r="B22" s="17" t="s">
        <v>1129</v>
      </c>
      <c r="C22" s="78" t="s">
        <v>1130</v>
      </c>
      <c r="D22" s="13" t="s">
        <v>1131</v>
      </c>
      <c r="E22" s="18">
        <v>159000</v>
      </c>
    </row>
    <row r="23" spans="1:5" ht="15.75" customHeight="1">
      <c r="A23" s="11">
        <v>12</v>
      </c>
      <c r="B23" s="17" t="s">
        <v>1132</v>
      </c>
      <c r="C23" s="78" t="s">
        <v>1133</v>
      </c>
      <c r="D23" s="13" t="s">
        <v>1134</v>
      </c>
      <c r="E23" s="18">
        <v>88950</v>
      </c>
    </row>
    <row r="24" spans="1:5" ht="15.75" customHeight="1">
      <c r="A24" s="11">
        <v>13</v>
      </c>
      <c r="B24" s="17" t="s">
        <v>1135</v>
      </c>
      <c r="C24" s="78" t="s">
        <v>1136</v>
      </c>
      <c r="D24" s="13">
        <v>490</v>
      </c>
      <c r="E24" s="18">
        <v>32500</v>
      </c>
    </row>
    <row r="25" spans="1:5" ht="15.75" customHeight="1">
      <c r="A25" s="11">
        <v>14</v>
      </c>
      <c r="B25" s="17" t="s">
        <v>1137</v>
      </c>
      <c r="C25" s="78" t="s">
        <v>1138</v>
      </c>
      <c r="D25" s="13">
        <v>499</v>
      </c>
      <c r="E25" s="18">
        <v>32400</v>
      </c>
    </row>
    <row r="26" spans="1:5" ht="15.75" customHeight="1">
      <c r="A26" s="11">
        <v>15</v>
      </c>
      <c r="B26" s="17" t="s">
        <v>1122</v>
      </c>
      <c r="C26" s="78" t="s">
        <v>269</v>
      </c>
      <c r="D26" s="13">
        <v>1671</v>
      </c>
      <c r="E26" s="18">
        <v>59000</v>
      </c>
    </row>
    <row r="27" spans="1:5" ht="15.75" customHeight="1">
      <c r="A27" s="11">
        <v>16</v>
      </c>
      <c r="B27" s="24" t="s">
        <v>1096</v>
      </c>
      <c r="C27" s="78" t="s">
        <v>1097</v>
      </c>
      <c r="D27" s="78" t="s">
        <v>1098</v>
      </c>
      <c r="E27" s="18">
        <v>28500</v>
      </c>
    </row>
    <row r="28" spans="1:5" ht="15.75" customHeight="1">
      <c r="A28" s="11">
        <v>17</v>
      </c>
      <c r="B28" s="12" t="s">
        <v>1099</v>
      </c>
      <c r="C28" s="13" t="s">
        <v>638</v>
      </c>
      <c r="D28" s="13" t="s">
        <v>1100</v>
      </c>
      <c r="E28" s="14">
        <v>116800</v>
      </c>
    </row>
    <row r="29" spans="1:5" ht="15.75" customHeight="1">
      <c r="A29" s="11">
        <v>18</v>
      </c>
      <c r="B29" s="24" t="s">
        <v>1101</v>
      </c>
      <c r="C29" s="13" t="s">
        <v>16</v>
      </c>
      <c r="D29" s="13">
        <v>71</v>
      </c>
      <c r="E29" s="14">
        <v>83920</v>
      </c>
    </row>
    <row r="30" spans="1:5" ht="15.75" customHeight="1">
      <c r="A30" s="11">
        <v>19</v>
      </c>
      <c r="B30" s="24" t="s">
        <v>1102</v>
      </c>
      <c r="C30" s="13" t="s">
        <v>16</v>
      </c>
      <c r="D30" s="98">
        <v>70</v>
      </c>
      <c r="E30" s="14">
        <v>28974</v>
      </c>
    </row>
    <row r="31" spans="1:5" ht="15.75" customHeight="1">
      <c r="A31" s="11">
        <v>20</v>
      </c>
      <c r="B31" s="24" t="s">
        <v>1103</v>
      </c>
      <c r="C31" s="13" t="s">
        <v>1089</v>
      </c>
      <c r="D31" s="78">
        <v>13</v>
      </c>
      <c r="E31" s="14">
        <v>20000</v>
      </c>
    </row>
    <row r="32" spans="1:5" ht="15.75" customHeight="1">
      <c r="A32" s="11">
        <v>21</v>
      </c>
      <c r="B32" s="17" t="s">
        <v>1104</v>
      </c>
      <c r="C32" s="78" t="s">
        <v>877</v>
      </c>
      <c r="D32" s="98">
        <v>126</v>
      </c>
      <c r="E32" s="18">
        <v>34600</v>
      </c>
    </row>
    <row r="33" spans="1:5" ht="15.75" customHeight="1">
      <c r="A33" s="11">
        <v>22</v>
      </c>
      <c r="B33" s="17" t="s">
        <v>1119</v>
      </c>
      <c r="C33" s="13" t="s">
        <v>81</v>
      </c>
      <c r="D33" s="98" t="s">
        <v>1120</v>
      </c>
      <c r="E33" s="18">
        <v>32000</v>
      </c>
    </row>
    <row r="34" spans="1:5" ht="15.75" customHeight="1">
      <c r="A34" s="11">
        <v>23</v>
      </c>
      <c r="B34" s="17" t="s">
        <v>1121</v>
      </c>
      <c r="C34" s="13" t="s">
        <v>16</v>
      </c>
      <c r="D34" s="98">
        <v>87</v>
      </c>
      <c r="E34" s="18">
        <v>3551</v>
      </c>
    </row>
    <row r="35" spans="1:5" ht="15.75" customHeight="1">
      <c r="A35" s="11">
        <v>24</v>
      </c>
      <c r="B35" s="17" t="s">
        <v>1107</v>
      </c>
      <c r="C35" s="13" t="s">
        <v>16</v>
      </c>
      <c r="D35" s="98">
        <v>72</v>
      </c>
      <c r="E35" s="18">
        <v>26800</v>
      </c>
    </row>
    <row r="36" spans="1:5" ht="15.75" customHeight="1">
      <c r="A36" s="11">
        <v>25</v>
      </c>
      <c r="B36" s="17" t="s">
        <v>1110</v>
      </c>
      <c r="C36" s="13" t="s">
        <v>1111</v>
      </c>
      <c r="D36" s="98">
        <v>1418</v>
      </c>
      <c r="E36" s="18">
        <v>79250</v>
      </c>
    </row>
    <row r="37" spans="1:5" ht="15.75" customHeight="1">
      <c r="A37" s="11">
        <v>26</v>
      </c>
      <c r="B37" s="17" t="s">
        <v>1139</v>
      </c>
      <c r="C37" s="78" t="s">
        <v>1140</v>
      </c>
      <c r="D37" s="98">
        <v>777</v>
      </c>
      <c r="E37" s="18">
        <v>76300</v>
      </c>
    </row>
    <row r="38" spans="1:5" ht="15.75" customHeight="1">
      <c r="A38" s="11">
        <v>27</v>
      </c>
      <c r="B38" s="17" t="s">
        <v>1112</v>
      </c>
      <c r="C38" s="13" t="s">
        <v>1113</v>
      </c>
      <c r="D38" s="98">
        <v>92</v>
      </c>
      <c r="E38" s="18">
        <v>60000</v>
      </c>
    </row>
    <row r="39" spans="1:5" ht="15.75" customHeight="1">
      <c r="A39" s="11">
        <v>28</v>
      </c>
      <c r="B39" s="17" t="s">
        <v>1114</v>
      </c>
      <c r="C39" s="13" t="s">
        <v>19</v>
      </c>
      <c r="D39" s="98" t="s">
        <v>1115</v>
      </c>
      <c r="E39" s="18">
        <v>11048.26</v>
      </c>
    </row>
    <row r="40" spans="1:5" ht="15.75" customHeight="1">
      <c r="A40" s="11">
        <v>29</v>
      </c>
      <c r="B40" s="17" t="s">
        <v>1116</v>
      </c>
      <c r="C40" s="13" t="s">
        <v>16</v>
      </c>
      <c r="D40" s="98">
        <v>105</v>
      </c>
      <c r="E40" s="18">
        <v>13540</v>
      </c>
    </row>
    <row r="41" spans="1:5" ht="15.75" customHeight="1">
      <c r="A41" s="11">
        <v>30</v>
      </c>
      <c r="B41" s="17" t="s">
        <v>1117</v>
      </c>
      <c r="C41" s="13" t="s">
        <v>16</v>
      </c>
      <c r="D41" s="98">
        <v>106</v>
      </c>
      <c r="E41" s="18">
        <v>7000</v>
      </c>
    </row>
    <row r="42" spans="1:5" ht="15.75" customHeight="1">
      <c r="A42" s="11">
        <v>31</v>
      </c>
      <c r="B42" s="17" t="s">
        <v>1118</v>
      </c>
      <c r="C42" s="13" t="s">
        <v>915</v>
      </c>
      <c r="D42" s="98">
        <v>47</v>
      </c>
      <c r="E42" s="18">
        <v>73500</v>
      </c>
    </row>
    <row r="43" spans="1:5" ht="15.75" customHeight="1">
      <c r="A43" s="8" t="s">
        <v>24</v>
      </c>
      <c r="B43" s="203"/>
      <c r="C43" s="204"/>
      <c r="D43" s="205"/>
      <c r="E43" s="49">
        <f>SUM(E12:E42)</f>
        <v>2439514.6999999997</v>
      </c>
    </row>
    <row r="44" spans="1:5" ht="15.75" customHeight="1">
      <c r="A44" s="198"/>
      <c r="B44" s="196"/>
      <c r="C44" s="196"/>
      <c r="D44" s="196"/>
      <c r="E44" s="196"/>
    </row>
    <row r="45" spans="1:5" ht="15.75" customHeight="1">
      <c r="A45" s="198" t="s">
        <v>1141</v>
      </c>
      <c r="B45" s="196"/>
      <c r="C45" s="196"/>
      <c r="D45" s="196"/>
      <c r="E45" s="27">
        <f>E43*8%</f>
        <v>195161.17599999998</v>
      </c>
    </row>
    <row r="46" spans="1:5" ht="14.25" customHeight="1">
      <c r="A46" s="198" t="s">
        <v>25</v>
      </c>
      <c r="B46" s="196"/>
      <c r="C46" s="196"/>
      <c r="D46" s="196"/>
      <c r="E46" s="196"/>
    </row>
    <row r="47" spans="1:5" ht="35.25" customHeight="1">
      <c r="A47" s="198"/>
      <c r="B47" s="196"/>
      <c r="C47" s="196"/>
      <c r="D47" s="196"/>
      <c r="E47" s="196"/>
    </row>
    <row r="48" spans="1:5" ht="15.75" customHeight="1">
      <c r="A48" s="198" t="s">
        <v>26</v>
      </c>
      <c r="B48" s="196"/>
      <c r="C48" s="196"/>
      <c r="D48" s="196"/>
      <c r="E48" s="196"/>
    </row>
    <row r="49" spans="1:5" ht="15.75" customHeight="1">
      <c r="A49" s="198" t="s">
        <v>27</v>
      </c>
      <c r="B49" s="196"/>
      <c r="C49" s="196"/>
      <c r="D49" s="196"/>
      <c r="E49" s="196"/>
    </row>
    <row r="50" spans="1:5" ht="15.75" customHeight="1">
      <c r="A50" s="198" t="s">
        <v>28</v>
      </c>
      <c r="B50" s="196"/>
      <c r="C50" s="196"/>
      <c r="D50" s="196"/>
      <c r="E50" s="196"/>
    </row>
    <row r="51" spans="1:5" ht="15.75" customHeight="1">
      <c r="A51" s="6"/>
      <c r="B51" s="6"/>
      <c r="C51" s="6"/>
      <c r="D51" s="6"/>
      <c r="E51" s="6"/>
    </row>
  </sheetData>
  <mergeCells count="18">
    <mergeCell ref="A50:E50"/>
    <mergeCell ref="A8:E8"/>
    <mergeCell ref="A9:E9"/>
    <mergeCell ref="A10:E10"/>
    <mergeCell ref="B43:D43"/>
    <mergeCell ref="A44:E44"/>
    <mergeCell ref="A45:D45"/>
    <mergeCell ref="A46:E46"/>
    <mergeCell ref="A6:E6"/>
    <mergeCell ref="A7:E7"/>
    <mergeCell ref="A47:E47"/>
    <mergeCell ref="A48:E48"/>
    <mergeCell ref="A49:E49"/>
    <mergeCell ref="A1:E1"/>
    <mergeCell ref="A2:E2"/>
    <mergeCell ref="A3:E3"/>
    <mergeCell ref="A4:E4"/>
    <mergeCell ref="A5:E5"/>
  </mergeCells>
  <conditionalFormatting sqref="E12:E42">
    <cfRule type="notContainsBlanks" dxfId="62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  <pageSetUpPr fitToPage="1"/>
  </sheetPr>
  <dimension ref="A1:E63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1142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"/>
      <c r="B12" s="17" t="s">
        <v>1143</v>
      </c>
      <c r="C12" s="78" t="s">
        <v>1058</v>
      </c>
      <c r="D12" s="98" t="s">
        <v>1144</v>
      </c>
      <c r="E12" s="18">
        <v>194700</v>
      </c>
    </row>
    <row r="13" spans="1:5" ht="15.75" customHeight="1">
      <c r="A13" s="11"/>
      <c r="B13" s="17" t="s">
        <v>1145</v>
      </c>
      <c r="C13" s="13" t="s">
        <v>1146</v>
      </c>
      <c r="D13" s="98" t="s">
        <v>1147</v>
      </c>
      <c r="E13" s="18">
        <v>54810</v>
      </c>
    </row>
    <row r="14" spans="1:5" ht="15.75" customHeight="1">
      <c r="A14" s="11"/>
      <c r="B14" s="17" t="s">
        <v>1148</v>
      </c>
      <c r="C14" s="13" t="s">
        <v>16</v>
      </c>
      <c r="D14" s="98">
        <v>116</v>
      </c>
      <c r="E14" s="18">
        <v>7800</v>
      </c>
    </row>
    <row r="15" spans="1:5" ht="15.75" customHeight="1">
      <c r="A15" s="11"/>
      <c r="B15" s="17" t="s">
        <v>1149</v>
      </c>
      <c r="C15" s="78" t="s">
        <v>1150</v>
      </c>
      <c r="D15" s="98" t="s">
        <v>1151</v>
      </c>
      <c r="E15" s="18">
        <v>115096.8</v>
      </c>
    </row>
    <row r="16" spans="1:5" ht="15.75" customHeight="1">
      <c r="A16" s="11"/>
      <c r="B16" s="24" t="s">
        <v>1152</v>
      </c>
      <c r="C16" s="78" t="s">
        <v>1150</v>
      </c>
      <c r="D16" s="78" t="s">
        <v>1153</v>
      </c>
      <c r="E16" s="18">
        <v>87119.61</v>
      </c>
    </row>
    <row r="17" spans="1:5" ht="15.75" customHeight="1">
      <c r="A17" s="11"/>
      <c r="B17" s="17" t="s">
        <v>1154</v>
      </c>
      <c r="C17" s="78" t="s">
        <v>1150</v>
      </c>
      <c r="D17" s="98" t="s">
        <v>1155</v>
      </c>
      <c r="E17" s="18">
        <v>86620.2</v>
      </c>
    </row>
    <row r="18" spans="1:5" ht="15.75" customHeight="1">
      <c r="A18" s="11"/>
      <c r="B18" s="17" t="s">
        <v>1156</v>
      </c>
      <c r="C18" s="78" t="s">
        <v>1150</v>
      </c>
      <c r="D18" s="98" t="s">
        <v>1157</v>
      </c>
      <c r="E18" s="18">
        <v>80491.5</v>
      </c>
    </row>
    <row r="19" spans="1:5" ht="15.75" customHeight="1">
      <c r="A19" s="11"/>
      <c r="B19" s="17" t="s">
        <v>1158</v>
      </c>
      <c r="C19" s="78" t="s">
        <v>1150</v>
      </c>
      <c r="D19" s="98" t="s">
        <v>1159</v>
      </c>
      <c r="E19" s="18">
        <v>54148.32</v>
      </c>
    </row>
    <row r="20" spans="1:5" ht="15.75" customHeight="1">
      <c r="A20" s="11"/>
      <c r="B20" s="80" t="s">
        <v>1160</v>
      </c>
      <c r="C20" s="13" t="s">
        <v>1161</v>
      </c>
      <c r="D20" s="78">
        <v>17</v>
      </c>
      <c r="E20" s="14">
        <v>621410</v>
      </c>
    </row>
    <row r="21" spans="1:5" ht="15.75" customHeight="1">
      <c r="A21" s="11"/>
      <c r="B21" s="12" t="s">
        <v>1162</v>
      </c>
      <c r="C21" s="13" t="s">
        <v>56</v>
      </c>
      <c r="D21" s="13">
        <v>122</v>
      </c>
      <c r="E21" s="14">
        <v>7200</v>
      </c>
    </row>
    <row r="22" spans="1:5" ht="15.75" customHeight="1">
      <c r="A22" s="11"/>
      <c r="B22" s="80" t="s">
        <v>1163</v>
      </c>
      <c r="C22" s="13" t="s">
        <v>472</v>
      </c>
      <c r="D22" s="78">
        <v>2593</v>
      </c>
      <c r="E22" s="14">
        <v>30465</v>
      </c>
    </row>
    <row r="23" spans="1:5" ht="15.75" customHeight="1">
      <c r="A23" s="11"/>
      <c r="B23" s="17" t="s">
        <v>1164</v>
      </c>
      <c r="C23" s="78" t="s">
        <v>1165</v>
      </c>
      <c r="D23" s="13" t="s">
        <v>1166</v>
      </c>
      <c r="E23" s="18">
        <v>12600</v>
      </c>
    </row>
    <row r="24" spans="1:5" ht="15.75" customHeight="1">
      <c r="A24" s="11"/>
      <c r="B24" s="17" t="s">
        <v>1167</v>
      </c>
      <c r="C24" s="78" t="s">
        <v>805</v>
      </c>
      <c r="D24" s="13">
        <v>253</v>
      </c>
      <c r="E24" s="18">
        <v>129800</v>
      </c>
    </row>
    <row r="25" spans="1:5" ht="15.75" customHeight="1">
      <c r="A25" s="11"/>
      <c r="B25" s="24" t="s">
        <v>1168</v>
      </c>
      <c r="C25" s="78" t="s">
        <v>75</v>
      </c>
      <c r="D25" s="78">
        <v>1144</v>
      </c>
      <c r="E25" s="18">
        <v>9800</v>
      </c>
    </row>
    <row r="26" spans="1:5" ht="15.75" customHeight="1">
      <c r="A26" s="11"/>
      <c r="B26" s="12" t="s">
        <v>1029</v>
      </c>
      <c r="C26" s="13" t="s">
        <v>209</v>
      </c>
      <c r="D26" s="13">
        <v>630</v>
      </c>
      <c r="E26" s="14">
        <v>114750</v>
      </c>
    </row>
    <row r="27" spans="1:5" ht="15.75" customHeight="1">
      <c r="A27" s="11"/>
      <c r="B27" s="24" t="s">
        <v>1169</v>
      </c>
      <c r="C27" s="13" t="s">
        <v>378</v>
      </c>
      <c r="D27" s="13">
        <v>1004</v>
      </c>
      <c r="E27" s="14">
        <v>2140</v>
      </c>
    </row>
    <row r="28" spans="1:5" ht="15.75" customHeight="1">
      <c r="A28" s="11"/>
      <c r="B28" s="24" t="s">
        <v>1170</v>
      </c>
      <c r="C28" s="13" t="s">
        <v>877</v>
      </c>
      <c r="D28" s="98">
        <v>225</v>
      </c>
      <c r="E28" s="14">
        <v>1500</v>
      </c>
    </row>
    <row r="29" spans="1:5" ht="15.75" customHeight="1">
      <c r="A29" s="11"/>
      <c r="B29" s="17" t="s">
        <v>1171</v>
      </c>
      <c r="C29" s="13" t="s">
        <v>16</v>
      </c>
      <c r="D29" s="98">
        <v>108</v>
      </c>
      <c r="E29" s="18">
        <v>108450</v>
      </c>
    </row>
    <row r="30" spans="1:5" ht="15.75" customHeight="1">
      <c r="A30" s="11"/>
      <c r="B30" s="17" t="s">
        <v>1172</v>
      </c>
      <c r="C30" s="13" t="s">
        <v>638</v>
      </c>
      <c r="D30" s="98" t="s">
        <v>1173</v>
      </c>
      <c r="E30" s="18">
        <v>437520</v>
      </c>
    </row>
    <row r="31" spans="1:5" ht="15.75" customHeight="1">
      <c r="A31" s="11"/>
      <c r="B31" s="17" t="s">
        <v>1174</v>
      </c>
      <c r="C31" s="78" t="s">
        <v>1022</v>
      </c>
      <c r="D31" s="98">
        <v>43</v>
      </c>
      <c r="E31" s="18">
        <v>242202</v>
      </c>
    </row>
    <row r="32" spans="1:5" ht="15.75" customHeight="1">
      <c r="A32" s="11"/>
      <c r="B32" s="92" t="s">
        <v>1175</v>
      </c>
      <c r="C32" s="78" t="s">
        <v>16</v>
      </c>
      <c r="D32" s="98">
        <v>124</v>
      </c>
      <c r="E32" s="18">
        <v>83637</v>
      </c>
    </row>
    <row r="33" spans="1:5" ht="15.75" customHeight="1">
      <c r="A33" s="11"/>
      <c r="B33" s="17" t="s">
        <v>1168</v>
      </c>
      <c r="C33" s="13" t="s">
        <v>75</v>
      </c>
      <c r="D33" s="98">
        <v>1144</v>
      </c>
      <c r="E33" s="18">
        <v>9800</v>
      </c>
    </row>
    <row r="34" spans="1:5" ht="15.75" customHeight="1">
      <c r="A34" s="11"/>
      <c r="B34" s="17" t="s">
        <v>1176</v>
      </c>
      <c r="C34" s="13" t="s">
        <v>1177</v>
      </c>
      <c r="D34" s="98">
        <v>140</v>
      </c>
      <c r="E34" s="18">
        <v>492400</v>
      </c>
    </row>
    <row r="35" spans="1:5" ht="15.75" customHeight="1">
      <c r="A35" s="11"/>
      <c r="B35" s="17" t="s">
        <v>1178</v>
      </c>
      <c r="C35" s="78" t="s">
        <v>334</v>
      </c>
      <c r="D35" s="98">
        <v>25944996</v>
      </c>
      <c r="E35" s="18">
        <v>53030</v>
      </c>
    </row>
    <row r="36" spans="1:5" ht="15.75" customHeight="1">
      <c r="A36" s="11"/>
      <c r="B36" s="17" t="s">
        <v>1179</v>
      </c>
      <c r="C36" s="78" t="s">
        <v>334</v>
      </c>
      <c r="D36" s="98">
        <v>125945324</v>
      </c>
      <c r="E36" s="18">
        <v>18615</v>
      </c>
    </row>
    <row r="37" spans="1:5" ht="15.75" customHeight="1">
      <c r="A37" s="11"/>
      <c r="B37" s="17" t="s">
        <v>1180</v>
      </c>
      <c r="C37" s="78" t="s">
        <v>826</v>
      </c>
      <c r="D37" s="98">
        <v>4541</v>
      </c>
      <c r="E37" s="18">
        <v>399488.43</v>
      </c>
    </row>
    <row r="38" spans="1:5" ht="15.75" customHeight="1">
      <c r="A38" s="11"/>
      <c r="B38" s="17" t="s">
        <v>1181</v>
      </c>
      <c r="C38" s="13" t="s">
        <v>14</v>
      </c>
      <c r="D38" s="98" t="s">
        <v>1182</v>
      </c>
      <c r="E38" s="18">
        <v>18400</v>
      </c>
    </row>
    <row r="39" spans="1:5" ht="15.75" customHeight="1">
      <c r="A39" s="11"/>
      <c r="B39" s="17" t="s">
        <v>1183</v>
      </c>
      <c r="C39" s="13" t="s">
        <v>1161</v>
      </c>
      <c r="D39" s="98">
        <v>20</v>
      </c>
      <c r="E39" s="18">
        <v>750000</v>
      </c>
    </row>
    <row r="40" spans="1:5" ht="15.75" customHeight="1">
      <c r="A40" s="11"/>
      <c r="B40" s="17" t="s">
        <v>1184</v>
      </c>
      <c r="C40" s="13" t="s">
        <v>1161</v>
      </c>
      <c r="D40" s="98">
        <v>19</v>
      </c>
      <c r="E40" s="18">
        <v>150000</v>
      </c>
    </row>
    <row r="41" spans="1:5" ht="15.75" customHeight="1">
      <c r="A41" s="11"/>
      <c r="B41" s="17" t="s">
        <v>142</v>
      </c>
      <c r="C41" s="13" t="s">
        <v>143</v>
      </c>
      <c r="D41" s="98">
        <v>264</v>
      </c>
      <c r="E41" s="18">
        <v>118740</v>
      </c>
    </row>
    <row r="42" spans="1:5" ht="15.75" customHeight="1">
      <c r="A42" s="11"/>
      <c r="B42" s="17" t="s">
        <v>1110</v>
      </c>
      <c r="C42" s="13" t="s">
        <v>1185</v>
      </c>
      <c r="D42" s="98">
        <v>33002</v>
      </c>
      <c r="E42" s="18">
        <v>36600</v>
      </c>
    </row>
    <row r="43" spans="1:5" ht="15.75" customHeight="1">
      <c r="A43" s="11"/>
      <c r="B43" s="17" t="s">
        <v>1186</v>
      </c>
      <c r="C43" s="13" t="s">
        <v>19</v>
      </c>
      <c r="D43" s="98" t="s">
        <v>1187</v>
      </c>
      <c r="E43" s="18">
        <v>59761</v>
      </c>
    </row>
    <row r="44" spans="1:5" ht="15.75" customHeight="1">
      <c r="A44" s="11"/>
      <c r="B44" s="17" t="s">
        <v>1188</v>
      </c>
      <c r="C44" s="13" t="s">
        <v>16</v>
      </c>
      <c r="D44" s="98">
        <v>129</v>
      </c>
      <c r="E44" s="18">
        <v>14485</v>
      </c>
    </row>
    <row r="45" spans="1:5" ht="15.75" customHeight="1">
      <c r="A45" s="11"/>
      <c r="B45" s="24" t="s">
        <v>1189</v>
      </c>
      <c r="C45" s="78" t="s">
        <v>334</v>
      </c>
      <c r="D45" s="78">
        <v>126975033</v>
      </c>
      <c r="E45" s="18">
        <v>12800</v>
      </c>
    </row>
    <row r="46" spans="1:5" ht="15.75" customHeight="1">
      <c r="A46" s="11"/>
      <c r="B46" s="24" t="s">
        <v>1190</v>
      </c>
      <c r="C46" s="78" t="s">
        <v>665</v>
      </c>
      <c r="D46" s="78" t="s">
        <v>1191</v>
      </c>
      <c r="E46" s="18">
        <v>105000</v>
      </c>
    </row>
    <row r="47" spans="1:5" ht="15.75" customHeight="1">
      <c r="A47" s="11"/>
      <c r="B47" s="24" t="s">
        <v>1192</v>
      </c>
      <c r="C47" s="78" t="s">
        <v>1058</v>
      </c>
      <c r="D47" s="78" t="s">
        <v>1193</v>
      </c>
      <c r="E47" s="14">
        <v>9400</v>
      </c>
    </row>
    <row r="48" spans="1:5" ht="15.75" customHeight="1">
      <c r="A48" s="11"/>
      <c r="B48" s="17" t="s">
        <v>1164</v>
      </c>
      <c r="C48" s="78" t="s">
        <v>1165</v>
      </c>
      <c r="D48" s="78" t="s">
        <v>1194</v>
      </c>
      <c r="E48" s="18">
        <v>14400</v>
      </c>
    </row>
    <row r="49" spans="1:5" ht="15.75" customHeight="1">
      <c r="A49" s="11"/>
      <c r="B49" s="17" t="s">
        <v>1195</v>
      </c>
      <c r="C49" s="78" t="s">
        <v>1196</v>
      </c>
      <c r="D49" s="78">
        <v>5970223448</v>
      </c>
      <c r="E49" s="18">
        <v>32810.400000000001</v>
      </c>
    </row>
    <row r="50" spans="1:5" ht="15.75" customHeight="1">
      <c r="A50" s="11"/>
      <c r="B50" s="17" t="s">
        <v>1197</v>
      </c>
      <c r="C50" s="13" t="s">
        <v>56</v>
      </c>
      <c r="D50" s="78">
        <v>145</v>
      </c>
      <c r="E50" s="18">
        <v>3980</v>
      </c>
    </row>
    <row r="51" spans="1:5" ht="15.75" customHeight="1">
      <c r="A51" s="11"/>
      <c r="B51" s="17" t="s">
        <v>1198</v>
      </c>
      <c r="C51" s="13" t="s">
        <v>1177</v>
      </c>
      <c r="D51" s="78">
        <v>161</v>
      </c>
      <c r="E51" s="18">
        <v>174600</v>
      </c>
    </row>
    <row r="52" spans="1:5" ht="15.75" customHeight="1">
      <c r="A52" s="11"/>
      <c r="B52" s="17" t="s">
        <v>1199</v>
      </c>
      <c r="C52" s="13" t="s">
        <v>16</v>
      </c>
      <c r="D52" s="78">
        <v>146</v>
      </c>
      <c r="E52" s="18">
        <v>14812</v>
      </c>
    </row>
    <row r="53" spans="1:5" ht="15.75" customHeight="1">
      <c r="A53" s="11"/>
      <c r="B53" s="17" t="s">
        <v>1200</v>
      </c>
      <c r="C53" s="13" t="s">
        <v>16</v>
      </c>
      <c r="D53" s="78">
        <v>152</v>
      </c>
      <c r="E53" s="18">
        <v>40000</v>
      </c>
    </row>
    <row r="54" spans="1:5" ht="16.5" customHeight="1">
      <c r="A54" s="11"/>
      <c r="B54" s="17" t="s">
        <v>1201</v>
      </c>
      <c r="C54" s="13" t="s">
        <v>16</v>
      </c>
      <c r="D54" s="78">
        <v>150</v>
      </c>
      <c r="E54" s="18">
        <v>43200</v>
      </c>
    </row>
    <row r="55" spans="1:5" ht="15.75" customHeight="1">
      <c r="A55" s="11"/>
      <c r="B55" s="24" t="s">
        <v>1202</v>
      </c>
      <c r="C55" s="78" t="s">
        <v>1203</v>
      </c>
      <c r="D55" s="78" t="s">
        <v>1204</v>
      </c>
      <c r="E55" s="18">
        <v>8100</v>
      </c>
    </row>
    <row r="56" spans="1:5" ht="15.75" customHeight="1">
      <c r="A56" s="8" t="s">
        <v>24</v>
      </c>
      <c r="B56" s="203"/>
      <c r="C56" s="204"/>
      <c r="D56" s="205"/>
      <c r="E56" s="49">
        <f>SUM(E12:E55)</f>
        <v>5062682.26</v>
      </c>
    </row>
    <row r="57" spans="1:5" ht="15.75" customHeight="1">
      <c r="A57" s="198"/>
      <c r="B57" s="196"/>
      <c r="C57" s="196"/>
      <c r="D57" s="196"/>
      <c r="E57" s="196"/>
    </row>
    <row r="58" spans="1:5" ht="15.75" customHeight="1">
      <c r="A58" s="198" t="s">
        <v>1205</v>
      </c>
      <c r="B58" s="196"/>
      <c r="C58" s="196"/>
      <c r="D58" s="196"/>
      <c r="E58" s="27">
        <f>IF(E56&gt;=10000000,5000000*2%+5000000*1%+(E56-10000000)*0.5%,IF(E56&gt;=5000000,5000000*2%+(E56-5000000)*1%,E56*2%))</f>
        <v>100626.8226</v>
      </c>
    </row>
    <row r="59" spans="1:5" ht="14.25" customHeight="1">
      <c r="A59" s="198" t="s">
        <v>25</v>
      </c>
      <c r="B59" s="196"/>
      <c r="C59" s="196"/>
      <c r="D59" s="196"/>
      <c r="E59" s="196"/>
    </row>
    <row r="60" spans="1:5" ht="35.25" customHeight="1">
      <c r="A60" s="198"/>
      <c r="B60" s="196"/>
      <c r="C60" s="196"/>
      <c r="D60" s="196"/>
      <c r="E60" s="196"/>
    </row>
    <row r="61" spans="1:5" ht="15.75" customHeight="1">
      <c r="A61" s="198" t="s">
        <v>26</v>
      </c>
      <c r="B61" s="196"/>
      <c r="C61" s="196"/>
      <c r="D61" s="196"/>
      <c r="E61" s="196"/>
    </row>
    <row r="62" spans="1:5" ht="15.75" customHeight="1">
      <c r="A62" s="198" t="s">
        <v>27</v>
      </c>
      <c r="B62" s="196"/>
      <c r="C62" s="196"/>
      <c r="D62" s="196"/>
      <c r="E62" s="196"/>
    </row>
    <row r="63" spans="1:5" ht="15.75" customHeight="1">
      <c r="A63" s="198" t="s">
        <v>28</v>
      </c>
      <c r="B63" s="196"/>
      <c r="C63" s="196"/>
      <c r="D63" s="196"/>
      <c r="E63" s="196"/>
    </row>
  </sheetData>
  <mergeCells count="18">
    <mergeCell ref="A63:E63"/>
    <mergeCell ref="A8:E8"/>
    <mergeCell ref="A9:E9"/>
    <mergeCell ref="A10:E10"/>
    <mergeCell ref="B56:D56"/>
    <mergeCell ref="A57:E57"/>
    <mergeCell ref="A58:D58"/>
    <mergeCell ref="A59:E59"/>
    <mergeCell ref="A6:E6"/>
    <mergeCell ref="A7:E7"/>
    <mergeCell ref="A60:E60"/>
    <mergeCell ref="A61:E61"/>
    <mergeCell ref="A62:E62"/>
    <mergeCell ref="A1:E1"/>
    <mergeCell ref="A2:E2"/>
    <mergeCell ref="A3:E3"/>
    <mergeCell ref="A4:E4"/>
    <mergeCell ref="A5:E5"/>
  </mergeCells>
  <conditionalFormatting sqref="E12:E55">
    <cfRule type="notContainsBlanks" dxfId="61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  <pageSetUpPr fitToPage="1"/>
  </sheetPr>
  <dimension ref="A1:E54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1206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">
        <v>1</v>
      </c>
      <c r="B12" s="17" t="s">
        <v>1143</v>
      </c>
      <c r="C12" s="78" t="s">
        <v>1058</v>
      </c>
      <c r="D12" s="98" t="s">
        <v>1144</v>
      </c>
      <c r="E12" s="18">
        <v>194700</v>
      </c>
    </row>
    <row r="13" spans="1:5" ht="15.75" customHeight="1">
      <c r="A13" s="11">
        <v>2</v>
      </c>
      <c r="B13" s="17" t="s">
        <v>1145</v>
      </c>
      <c r="C13" s="13" t="s">
        <v>1146</v>
      </c>
      <c r="D13" s="98" t="s">
        <v>1147</v>
      </c>
      <c r="E13" s="18">
        <v>54810</v>
      </c>
    </row>
    <row r="14" spans="1:5" ht="15.75" customHeight="1">
      <c r="A14" s="11">
        <v>3</v>
      </c>
      <c r="B14" s="17" t="s">
        <v>1148</v>
      </c>
      <c r="C14" s="13" t="s">
        <v>16</v>
      </c>
      <c r="D14" s="98">
        <v>116</v>
      </c>
      <c r="E14" s="18">
        <v>7800</v>
      </c>
    </row>
    <row r="15" spans="1:5" ht="15.75" customHeight="1">
      <c r="A15" s="11">
        <v>4</v>
      </c>
      <c r="B15" s="17" t="s">
        <v>1149</v>
      </c>
      <c r="C15" s="78" t="s">
        <v>1150</v>
      </c>
      <c r="D15" s="98" t="s">
        <v>1151</v>
      </c>
      <c r="E15" s="18">
        <v>115096.8</v>
      </c>
    </row>
    <row r="16" spans="1:5" ht="15.75" customHeight="1">
      <c r="A16" s="11">
        <v>5</v>
      </c>
      <c r="B16" s="24" t="s">
        <v>1152</v>
      </c>
      <c r="C16" s="78" t="s">
        <v>1150</v>
      </c>
      <c r="D16" s="78" t="s">
        <v>1153</v>
      </c>
      <c r="E16" s="18">
        <v>87119.61</v>
      </c>
    </row>
    <row r="17" spans="1:5" ht="15.75" customHeight="1">
      <c r="A17" s="11">
        <v>6</v>
      </c>
      <c r="B17" s="17" t="s">
        <v>1158</v>
      </c>
      <c r="C17" s="78" t="s">
        <v>1150</v>
      </c>
      <c r="D17" s="98" t="s">
        <v>1159</v>
      </c>
      <c r="E17" s="18">
        <v>54148.32</v>
      </c>
    </row>
    <row r="18" spans="1:5" ht="15.75" customHeight="1">
      <c r="A18" s="11">
        <v>7</v>
      </c>
      <c r="B18" s="12" t="s">
        <v>1162</v>
      </c>
      <c r="C18" s="13" t="s">
        <v>56</v>
      </c>
      <c r="D18" s="13">
        <v>122</v>
      </c>
      <c r="E18" s="14">
        <v>7200</v>
      </c>
    </row>
    <row r="19" spans="1:5" ht="15.75" customHeight="1">
      <c r="A19" s="11">
        <v>8</v>
      </c>
      <c r="B19" s="80" t="s">
        <v>1163</v>
      </c>
      <c r="C19" s="13" t="s">
        <v>472</v>
      </c>
      <c r="D19" s="78">
        <v>2593</v>
      </c>
      <c r="E19" s="14">
        <v>30465</v>
      </c>
    </row>
    <row r="20" spans="1:5" ht="15.75" customHeight="1">
      <c r="A20" s="11">
        <v>9</v>
      </c>
      <c r="B20" s="17" t="s">
        <v>1164</v>
      </c>
      <c r="C20" s="78" t="s">
        <v>1165</v>
      </c>
      <c r="D20" s="13" t="s">
        <v>1166</v>
      </c>
      <c r="E20" s="18">
        <v>12423.8</v>
      </c>
    </row>
    <row r="21" spans="1:5" ht="15.75" customHeight="1">
      <c r="A21" s="11">
        <v>10</v>
      </c>
      <c r="B21" s="17" t="s">
        <v>1167</v>
      </c>
      <c r="C21" s="78" t="s">
        <v>805</v>
      </c>
      <c r="D21" s="13">
        <v>253</v>
      </c>
      <c r="E21" s="18">
        <v>129800</v>
      </c>
    </row>
    <row r="22" spans="1:5" ht="15.75" customHeight="1">
      <c r="A22" s="11">
        <v>11</v>
      </c>
      <c r="B22" s="24" t="s">
        <v>1168</v>
      </c>
      <c r="C22" s="78" t="s">
        <v>75</v>
      </c>
      <c r="D22" s="78">
        <v>1144</v>
      </c>
      <c r="E22" s="18">
        <v>9800</v>
      </c>
    </row>
    <row r="23" spans="1:5" ht="15.75" customHeight="1">
      <c r="A23" s="11">
        <v>12</v>
      </c>
      <c r="B23" s="12" t="s">
        <v>1029</v>
      </c>
      <c r="C23" s="13" t="s">
        <v>209</v>
      </c>
      <c r="D23" s="13">
        <v>591</v>
      </c>
      <c r="E23" s="14">
        <v>114750</v>
      </c>
    </row>
    <row r="24" spans="1:5" ht="15.75" customHeight="1">
      <c r="A24" s="11">
        <v>13</v>
      </c>
      <c r="B24" s="24" t="s">
        <v>1170</v>
      </c>
      <c r="C24" s="13" t="s">
        <v>877</v>
      </c>
      <c r="D24" s="98">
        <v>225</v>
      </c>
      <c r="E24" s="14">
        <v>1500</v>
      </c>
    </row>
    <row r="25" spans="1:5" ht="15.75" customHeight="1">
      <c r="A25" s="11">
        <v>14</v>
      </c>
      <c r="B25" s="17" t="s">
        <v>1171</v>
      </c>
      <c r="C25" s="13" t="s">
        <v>16</v>
      </c>
      <c r="D25" s="98">
        <v>108</v>
      </c>
      <c r="E25" s="18">
        <v>108450</v>
      </c>
    </row>
    <row r="26" spans="1:5" ht="15.75" customHeight="1">
      <c r="A26" s="11">
        <v>15</v>
      </c>
      <c r="B26" s="17" t="s">
        <v>1172</v>
      </c>
      <c r="C26" s="13" t="s">
        <v>638</v>
      </c>
      <c r="D26" s="98" t="s">
        <v>1173</v>
      </c>
      <c r="E26" s="18">
        <v>437520</v>
      </c>
    </row>
    <row r="27" spans="1:5" ht="15.75" customHeight="1">
      <c r="A27" s="11">
        <v>16</v>
      </c>
      <c r="B27" s="17" t="s">
        <v>1174</v>
      </c>
      <c r="C27" s="78" t="s">
        <v>1022</v>
      </c>
      <c r="D27" s="98">
        <v>43</v>
      </c>
      <c r="E27" s="18">
        <v>242202</v>
      </c>
    </row>
    <row r="28" spans="1:5" ht="15.75" customHeight="1">
      <c r="A28" s="11">
        <v>17</v>
      </c>
      <c r="B28" s="92" t="s">
        <v>1175</v>
      </c>
      <c r="C28" s="78" t="s">
        <v>16</v>
      </c>
      <c r="D28" s="98">
        <v>124</v>
      </c>
      <c r="E28" s="18">
        <v>83637</v>
      </c>
    </row>
    <row r="29" spans="1:5" ht="15.75" customHeight="1">
      <c r="A29" s="11">
        <v>18</v>
      </c>
      <c r="B29" s="17" t="s">
        <v>1168</v>
      </c>
      <c r="C29" s="13" t="s">
        <v>75</v>
      </c>
      <c r="D29" s="98">
        <v>1144</v>
      </c>
      <c r="E29" s="18">
        <v>9800</v>
      </c>
    </row>
    <row r="30" spans="1:5" ht="15.75" customHeight="1">
      <c r="A30" s="11">
        <v>19</v>
      </c>
      <c r="B30" s="17" t="s">
        <v>1176</v>
      </c>
      <c r="C30" s="13" t="s">
        <v>1177</v>
      </c>
      <c r="D30" s="98">
        <v>140</v>
      </c>
      <c r="E30" s="18">
        <v>492400</v>
      </c>
    </row>
    <row r="31" spans="1:5" ht="15.75" customHeight="1">
      <c r="A31" s="11">
        <v>20</v>
      </c>
      <c r="B31" s="17" t="s">
        <v>1178</v>
      </c>
      <c r="C31" s="78" t="s">
        <v>334</v>
      </c>
      <c r="D31" s="98">
        <v>25944996</v>
      </c>
      <c r="E31" s="18">
        <v>53030</v>
      </c>
    </row>
    <row r="32" spans="1:5" ht="15.75" customHeight="1">
      <c r="A32" s="11">
        <v>21</v>
      </c>
      <c r="B32" s="17" t="s">
        <v>1179</v>
      </c>
      <c r="C32" s="78" t="s">
        <v>334</v>
      </c>
      <c r="D32" s="98">
        <v>125945324</v>
      </c>
      <c r="E32" s="18">
        <v>18615</v>
      </c>
    </row>
    <row r="33" spans="1:5" ht="15.75" customHeight="1">
      <c r="A33" s="11">
        <v>22</v>
      </c>
      <c r="B33" s="17" t="s">
        <v>1180</v>
      </c>
      <c r="C33" s="78" t="s">
        <v>826</v>
      </c>
      <c r="D33" s="98">
        <v>4541</v>
      </c>
      <c r="E33" s="18">
        <v>399488.43</v>
      </c>
    </row>
    <row r="34" spans="1:5" ht="15.75" customHeight="1">
      <c r="A34" s="11">
        <v>23</v>
      </c>
      <c r="B34" s="17" t="s">
        <v>1181</v>
      </c>
      <c r="C34" s="13" t="s">
        <v>14</v>
      </c>
      <c r="D34" s="98" t="s">
        <v>1182</v>
      </c>
      <c r="E34" s="18">
        <v>18400</v>
      </c>
    </row>
    <row r="35" spans="1:5" ht="15.75" customHeight="1">
      <c r="A35" s="11">
        <v>24</v>
      </c>
      <c r="B35" s="17" t="s">
        <v>1184</v>
      </c>
      <c r="C35" s="13" t="s">
        <v>1161</v>
      </c>
      <c r="D35" s="98">
        <v>19</v>
      </c>
      <c r="E35" s="18">
        <v>150000</v>
      </c>
    </row>
    <row r="36" spans="1:5" ht="15.75" customHeight="1">
      <c r="A36" s="11">
        <v>25</v>
      </c>
      <c r="B36" s="17" t="s">
        <v>142</v>
      </c>
      <c r="C36" s="13" t="s">
        <v>143</v>
      </c>
      <c r="D36" s="98">
        <v>264</v>
      </c>
      <c r="E36" s="18">
        <v>118740</v>
      </c>
    </row>
    <row r="37" spans="1:5" ht="15.75" customHeight="1">
      <c r="A37" s="11">
        <v>26</v>
      </c>
      <c r="B37" s="17" t="s">
        <v>1186</v>
      </c>
      <c r="C37" s="13" t="s">
        <v>19</v>
      </c>
      <c r="D37" s="98" t="s">
        <v>1187</v>
      </c>
      <c r="E37" s="18">
        <v>59761</v>
      </c>
    </row>
    <row r="38" spans="1:5" ht="15.75" customHeight="1">
      <c r="A38" s="11">
        <v>27</v>
      </c>
      <c r="B38" s="24" t="s">
        <v>1190</v>
      </c>
      <c r="C38" s="78" t="s">
        <v>665</v>
      </c>
      <c r="D38" s="78" t="s">
        <v>1191</v>
      </c>
      <c r="E38" s="18">
        <v>105000</v>
      </c>
    </row>
    <row r="39" spans="1:5" ht="15.75" customHeight="1">
      <c r="A39" s="11">
        <v>28</v>
      </c>
      <c r="B39" s="17" t="s">
        <v>1164</v>
      </c>
      <c r="C39" s="78" t="s">
        <v>1165</v>
      </c>
      <c r="D39" s="78" t="s">
        <v>1194</v>
      </c>
      <c r="E39" s="18">
        <v>14400</v>
      </c>
    </row>
    <row r="40" spans="1:5" ht="15.75" customHeight="1">
      <c r="A40" s="11">
        <v>29</v>
      </c>
      <c r="B40" s="17" t="s">
        <v>1195</v>
      </c>
      <c r="C40" s="78" t="s">
        <v>1196</v>
      </c>
      <c r="D40" s="78">
        <v>5970223448</v>
      </c>
      <c r="E40" s="18">
        <v>32810.400000000001</v>
      </c>
    </row>
    <row r="41" spans="1:5" ht="15.75" customHeight="1">
      <c r="A41" s="11">
        <v>30</v>
      </c>
      <c r="B41" s="17" t="s">
        <v>1197</v>
      </c>
      <c r="C41" s="13" t="s">
        <v>56</v>
      </c>
      <c r="D41" s="78">
        <v>145</v>
      </c>
      <c r="E41" s="18">
        <v>3980</v>
      </c>
    </row>
    <row r="42" spans="1:5" ht="15.75" customHeight="1">
      <c r="A42" s="11">
        <v>31</v>
      </c>
      <c r="B42" s="17" t="s">
        <v>1198</v>
      </c>
      <c r="C42" s="13" t="s">
        <v>1177</v>
      </c>
      <c r="D42" s="78">
        <v>161</v>
      </c>
      <c r="E42" s="18">
        <v>174600</v>
      </c>
    </row>
    <row r="43" spans="1:5" ht="15.75" customHeight="1">
      <c r="A43" s="11">
        <v>32</v>
      </c>
      <c r="B43" s="17" t="s">
        <v>1199</v>
      </c>
      <c r="C43" s="13" t="s">
        <v>16</v>
      </c>
      <c r="D43" s="78">
        <v>146</v>
      </c>
      <c r="E43" s="18">
        <v>14812</v>
      </c>
    </row>
    <row r="44" spans="1:5" ht="15.75" customHeight="1">
      <c r="A44" s="11">
        <v>33</v>
      </c>
      <c r="B44" s="17" t="s">
        <v>1200</v>
      </c>
      <c r="C44" s="13" t="s">
        <v>16</v>
      </c>
      <c r="D44" s="78">
        <v>152</v>
      </c>
      <c r="E44" s="18">
        <v>40000</v>
      </c>
    </row>
    <row r="45" spans="1:5" ht="16.5" customHeight="1">
      <c r="A45" s="11">
        <v>34</v>
      </c>
      <c r="B45" s="17" t="s">
        <v>1201</v>
      </c>
      <c r="C45" s="13" t="s">
        <v>16</v>
      </c>
      <c r="D45" s="78">
        <v>150</v>
      </c>
      <c r="E45" s="18">
        <v>43200</v>
      </c>
    </row>
    <row r="46" spans="1:5" ht="15.75" customHeight="1">
      <c r="A46" s="11">
        <v>35</v>
      </c>
      <c r="B46" s="24" t="s">
        <v>1202</v>
      </c>
      <c r="C46" s="78" t="s">
        <v>1203</v>
      </c>
      <c r="D46" s="78" t="s">
        <v>1204</v>
      </c>
      <c r="E46" s="18">
        <v>8100</v>
      </c>
    </row>
    <row r="47" spans="1:5" ht="15.75" customHeight="1">
      <c r="A47" s="8" t="s">
        <v>24</v>
      </c>
      <c r="B47" s="203"/>
      <c r="C47" s="204"/>
      <c r="D47" s="205"/>
      <c r="E47" s="49">
        <f>SUM(E12:E46)</f>
        <v>3448559.3600000003</v>
      </c>
    </row>
    <row r="48" spans="1:5" ht="15.75" customHeight="1">
      <c r="A48" s="198"/>
      <c r="B48" s="196"/>
      <c r="C48" s="196"/>
      <c r="D48" s="196"/>
      <c r="E48" s="196"/>
    </row>
    <row r="49" spans="1:5" ht="15.75" customHeight="1">
      <c r="A49" s="198" t="s">
        <v>1207</v>
      </c>
      <c r="B49" s="196"/>
      <c r="C49" s="196"/>
      <c r="D49" s="196"/>
      <c r="E49" s="27">
        <f>E47*8%</f>
        <v>275884.74880000006</v>
      </c>
    </row>
    <row r="50" spans="1:5" ht="14.25" customHeight="1">
      <c r="A50" s="198" t="s">
        <v>25</v>
      </c>
      <c r="B50" s="196"/>
      <c r="C50" s="196"/>
      <c r="D50" s="196"/>
      <c r="E50" s="196"/>
    </row>
    <row r="51" spans="1:5" ht="35.25" customHeight="1">
      <c r="A51" s="198"/>
      <c r="B51" s="196"/>
      <c r="C51" s="196"/>
      <c r="D51" s="196"/>
      <c r="E51" s="196"/>
    </row>
    <row r="52" spans="1:5" ht="15.75" customHeight="1">
      <c r="A52" s="198" t="s">
        <v>26</v>
      </c>
      <c r="B52" s="196"/>
      <c r="C52" s="196"/>
      <c r="D52" s="196"/>
      <c r="E52" s="196"/>
    </row>
    <row r="53" spans="1:5" ht="15.75" customHeight="1">
      <c r="A53" s="198" t="s">
        <v>27</v>
      </c>
      <c r="B53" s="196"/>
      <c r="C53" s="196"/>
      <c r="D53" s="196"/>
      <c r="E53" s="196"/>
    </row>
    <row r="54" spans="1:5" ht="15.75" customHeight="1">
      <c r="A54" s="198" t="s">
        <v>28</v>
      </c>
      <c r="B54" s="196"/>
      <c r="C54" s="196"/>
      <c r="D54" s="196"/>
      <c r="E54" s="196"/>
    </row>
  </sheetData>
  <mergeCells count="18">
    <mergeCell ref="A54:E54"/>
    <mergeCell ref="A8:E8"/>
    <mergeCell ref="A9:E9"/>
    <mergeCell ref="A10:E10"/>
    <mergeCell ref="B47:D47"/>
    <mergeCell ref="A48:E48"/>
    <mergeCell ref="A49:D49"/>
    <mergeCell ref="A50:E50"/>
    <mergeCell ref="A6:E6"/>
    <mergeCell ref="A7:E7"/>
    <mergeCell ref="A51:E51"/>
    <mergeCell ref="A52:E52"/>
    <mergeCell ref="A53:E53"/>
    <mergeCell ref="A1:E1"/>
    <mergeCell ref="A2:E2"/>
    <mergeCell ref="A3:E3"/>
    <mergeCell ref="A4:E4"/>
    <mergeCell ref="A5:E5"/>
  </mergeCells>
  <conditionalFormatting sqref="E12:E46">
    <cfRule type="notContainsBlanks" dxfId="60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  <pageSetUpPr fitToPage="1"/>
  </sheetPr>
  <dimension ref="A1:E82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1208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06" t="s">
        <v>1209</v>
      </c>
      <c r="B12" s="17" t="s">
        <v>1210</v>
      </c>
      <c r="C12" s="78" t="s">
        <v>1211</v>
      </c>
      <c r="D12" s="98">
        <v>82</v>
      </c>
      <c r="E12" s="18">
        <v>984256</v>
      </c>
    </row>
    <row r="13" spans="1:5" ht="15.75" customHeight="1">
      <c r="A13" s="106" t="s">
        <v>1212</v>
      </c>
      <c r="B13" s="17" t="s">
        <v>1213</v>
      </c>
      <c r="C13" s="13" t="s">
        <v>1214</v>
      </c>
      <c r="D13" s="98">
        <v>77</v>
      </c>
      <c r="E13" s="18">
        <v>95300</v>
      </c>
    </row>
    <row r="14" spans="1:5" ht="15.75" customHeight="1">
      <c r="A14" s="106" t="s">
        <v>1215</v>
      </c>
      <c r="B14" s="17" t="s">
        <v>1216</v>
      </c>
      <c r="C14" s="13" t="s">
        <v>56</v>
      </c>
      <c r="D14" s="78">
        <v>128</v>
      </c>
      <c r="E14" s="18">
        <v>151167</v>
      </c>
    </row>
    <row r="15" spans="1:5" ht="15.75" customHeight="1">
      <c r="A15" s="106" t="s">
        <v>1217</v>
      </c>
      <c r="B15" s="17" t="s">
        <v>1218</v>
      </c>
      <c r="C15" s="13" t="s">
        <v>1219</v>
      </c>
      <c r="D15" s="78" t="s">
        <v>1220</v>
      </c>
      <c r="E15" s="18">
        <v>42960</v>
      </c>
    </row>
    <row r="16" spans="1:5" ht="15.75" customHeight="1">
      <c r="A16" s="106" t="s">
        <v>1221</v>
      </c>
      <c r="B16" s="24" t="s">
        <v>1222</v>
      </c>
      <c r="C16" s="78" t="s">
        <v>1223</v>
      </c>
      <c r="D16" s="78">
        <v>1007</v>
      </c>
      <c r="E16" s="18">
        <v>239697.71</v>
      </c>
    </row>
    <row r="17" spans="1:5" ht="15.75" customHeight="1">
      <c r="A17" s="106" t="s">
        <v>1224</v>
      </c>
      <c r="B17" s="17" t="s">
        <v>1225</v>
      </c>
      <c r="C17" s="78" t="s">
        <v>1223</v>
      </c>
      <c r="D17" s="78">
        <v>1006</v>
      </c>
      <c r="E17" s="18">
        <v>317460</v>
      </c>
    </row>
    <row r="18" spans="1:5" ht="15.75" customHeight="1">
      <c r="A18" s="106" t="s">
        <v>1226</v>
      </c>
      <c r="B18" s="17" t="s">
        <v>1227</v>
      </c>
      <c r="C18" s="13" t="s">
        <v>805</v>
      </c>
      <c r="D18" s="98">
        <v>237</v>
      </c>
      <c r="E18" s="18">
        <v>288500</v>
      </c>
    </row>
    <row r="19" spans="1:5" ht="15.75" customHeight="1">
      <c r="A19" s="106" t="s">
        <v>1228</v>
      </c>
      <c r="B19" s="24" t="s">
        <v>1229</v>
      </c>
      <c r="C19" s="13" t="s">
        <v>805</v>
      </c>
      <c r="D19" s="78">
        <v>241</v>
      </c>
      <c r="E19" s="14">
        <v>147000</v>
      </c>
    </row>
    <row r="20" spans="1:5" ht="15.75" customHeight="1">
      <c r="A20" s="106" t="s">
        <v>1230</v>
      </c>
      <c r="B20" s="17" t="s">
        <v>1231</v>
      </c>
      <c r="C20" s="13" t="s">
        <v>1177</v>
      </c>
      <c r="D20" s="78">
        <v>163</v>
      </c>
      <c r="E20" s="18">
        <v>247500</v>
      </c>
    </row>
    <row r="21" spans="1:5" ht="15.75" customHeight="1">
      <c r="A21" s="106" t="s">
        <v>1232</v>
      </c>
      <c r="B21" s="12" t="s">
        <v>1233</v>
      </c>
      <c r="C21" s="13" t="s">
        <v>355</v>
      </c>
      <c r="D21" s="13">
        <v>624</v>
      </c>
      <c r="E21" s="14">
        <v>83900</v>
      </c>
    </row>
    <row r="22" spans="1:5" ht="15.75" customHeight="1">
      <c r="A22" s="106" t="s">
        <v>1234</v>
      </c>
      <c r="B22" s="80" t="s">
        <v>1235</v>
      </c>
      <c r="C22" s="13" t="s">
        <v>238</v>
      </c>
      <c r="D22" s="78">
        <v>316</v>
      </c>
      <c r="E22" s="14">
        <v>64350</v>
      </c>
    </row>
    <row r="23" spans="1:5" ht="15.75" customHeight="1">
      <c r="A23" s="106" t="s">
        <v>1236</v>
      </c>
      <c r="B23" s="17" t="s">
        <v>1237</v>
      </c>
      <c r="C23" s="78" t="s">
        <v>1238</v>
      </c>
      <c r="D23" s="13" t="s">
        <v>1239</v>
      </c>
      <c r="E23" s="18">
        <v>18999</v>
      </c>
    </row>
    <row r="24" spans="1:5" ht="15.75" customHeight="1">
      <c r="A24" s="106" t="s">
        <v>1240</v>
      </c>
      <c r="B24" s="17" t="s">
        <v>1241</v>
      </c>
      <c r="C24" s="78" t="s">
        <v>41</v>
      </c>
      <c r="D24" s="13">
        <v>202</v>
      </c>
      <c r="E24" s="18">
        <v>22090</v>
      </c>
    </row>
    <row r="25" spans="1:5" ht="15.75" customHeight="1">
      <c r="A25" s="106" t="s">
        <v>1242</v>
      </c>
      <c r="B25" s="24" t="s">
        <v>1243</v>
      </c>
      <c r="C25" s="78" t="s">
        <v>1244</v>
      </c>
      <c r="D25" s="78">
        <v>3101</v>
      </c>
      <c r="E25" s="18">
        <v>46000</v>
      </c>
    </row>
    <row r="26" spans="1:5" ht="15.75" customHeight="1">
      <c r="A26" s="106" t="s">
        <v>1245</v>
      </c>
      <c r="B26" s="12" t="s">
        <v>1246</v>
      </c>
      <c r="C26" s="13" t="s">
        <v>600</v>
      </c>
      <c r="D26" s="13">
        <v>4040</v>
      </c>
      <c r="E26" s="14">
        <v>54500</v>
      </c>
    </row>
    <row r="27" spans="1:5" ht="15.75" customHeight="1">
      <c r="A27" s="106" t="s">
        <v>1247</v>
      </c>
      <c r="B27" s="24" t="s">
        <v>1248</v>
      </c>
      <c r="C27" s="13" t="s">
        <v>1185</v>
      </c>
      <c r="D27" s="78">
        <v>41918</v>
      </c>
      <c r="E27" s="18">
        <v>65100</v>
      </c>
    </row>
    <row r="28" spans="1:5" ht="15.75" customHeight="1">
      <c r="A28" s="106" t="s">
        <v>1249</v>
      </c>
      <c r="B28" s="24" t="s">
        <v>1250</v>
      </c>
      <c r="C28" s="13" t="s">
        <v>1251</v>
      </c>
      <c r="D28" s="98">
        <v>2081</v>
      </c>
      <c r="E28" s="14">
        <v>11900</v>
      </c>
    </row>
    <row r="29" spans="1:5" ht="15.75" customHeight="1">
      <c r="A29" s="106" t="s">
        <v>1252</v>
      </c>
      <c r="B29" s="17" t="s">
        <v>1253</v>
      </c>
      <c r="C29" s="13" t="s">
        <v>1254</v>
      </c>
      <c r="D29" s="78">
        <v>187</v>
      </c>
      <c r="E29" s="18">
        <v>26800</v>
      </c>
    </row>
    <row r="30" spans="1:5" ht="15.75" customHeight="1">
      <c r="A30" s="106" t="s">
        <v>1255</v>
      </c>
      <c r="B30" s="17" t="s">
        <v>1256</v>
      </c>
      <c r="C30" s="13" t="s">
        <v>1254</v>
      </c>
      <c r="D30" s="98">
        <v>178</v>
      </c>
      <c r="E30" s="18">
        <v>43218</v>
      </c>
    </row>
    <row r="31" spans="1:5" ht="15.75" customHeight="1">
      <c r="A31" s="106" t="s">
        <v>1257</v>
      </c>
      <c r="B31" s="17" t="s">
        <v>1258</v>
      </c>
      <c r="C31" s="78" t="s">
        <v>896</v>
      </c>
      <c r="D31" s="98">
        <v>345</v>
      </c>
      <c r="E31" s="18">
        <v>13500</v>
      </c>
    </row>
    <row r="32" spans="1:5" ht="15.75" customHeight="1">
      <c r="A32" s="106" t="s">
        <v>1259</v>
      </c>
      <c r="B32" s="92" t="s">
        <v>1260</v>
      </c>
      <c r="C32" s="78" t="s">
        <v>1261</v>
      </c>
      <c r="D32" s="98" t="s">
        <v>1262</v>
      </c>
      <c r="E32" s="18">
        <v>119885</v>
      </c>
    </row>
    <row r="33" spans="1:5" ht="15.75" customHeight="1">
      <c r="A33" s="106" t="s">
        <v>1263</v>
      </c>
      <c r="B33" s="24" t="s">
        <v>1264</v>
      </c>
      <c r="C33" s="42" t="s">
        <v>1265</v>
      </c>
      <c r="D33" s="107" t="s">
        <v>1266</v>
      </c>
      <c r="E33" s="44">
        <v>29721.51</v>
      </c>
    </row>
    <row r="34" spans="1:5" ht="15.75" customHeight="1">
      <c r="A34" s="106" t="s">
        <v>1267</v>
      </c>
      <c r="B34" s="17" t="s">
        <v>1268</v>
      </c>
      <c r="C34" s="13" t="s">
        <v>19</v>
      </c>
      <c r="D34" s="98" t="s">
        <v>1269</v>
      </c>
      <c r="E34" s="18">
        <v>30778.560000000001</v>
      </c>
    </row>
    <row r="35" spans="1:5" ht="15.75" customHeight="1">
      <c r="A35" s="106" t="s">
        <v>1270</v>
      </c>
      <c r="B35" s="17" t="s">
        <v>1271</v>
      </c>
      <c r="C35" s="13" t="s">
        <v>1272</v>
      </c>
      <c r="D35" s="98">
        <v>128457053</v>
      </c>
      <c r="E35" s="18">
        <v>12540</v>
      </c>
    </row>
    <row r="36" spans="1:5" ht="15.75" customHeight="1">
      <c r="A36" s="106" t="s">
        <v>1273</v>
      </c>
      <c r="B36" s="17" t="s">
        <v>1274</v>
      </c>
      <c r="C36" s="78" t="s">
        <v>1161</v>
      </c>
      <c r="D36" s="98">
        <v>31</v>
      </c>
      <c r="E36" s="18">
        <v>264100</v>
      </c>
    </row>
    <row r="37" spans="1:5" ht="15.75" customHeight="1">
      <c r="A37" s="106" t="s">
        <v>1275</v>
      </c>
      <c r="B37" s="17" t="s">
        <v>1276</v>
      </c>
      <c r="C37" s="78" t="s">
        <v>1277</v>
      </c>
      <c r="D37" s="98">
        <v>11622</v>
      </c>
      <c r="E37" s="18">
        <v>98930</v>
      </c>
    </row>
    <row r="38" spans="1:5" ht="15.75" customHeight="1">
      <c r="A38" s="106" t="s">
        <v>1278</v>
      </c>
      <c r="B38" s="17" t="s">
        <v>1279</v>
      </c>
      <c r="C38" s="13" t="s">
        <v>1280</v>
      </c>
      <c r="D38" s="98">
        <v>135</v>
      </c>
      <c r="E38" s="18">
        <v>16000</v>
      </c>
    </row>
    <row r="39" spans="1:5" ht="15.75" customHeight="1">
      <c r="A39" s="106" t="s">
        <v>1281</v>
      </c>
      <c r="B39" s="17" t="s">
        <v>1282</v>
      </c>
      <c r="C39" s="13" t="s">
        <v>1283</v>
      </c>
      <c r="D39" s="98">
        <v>161</v>
      </c>
      <c r="E39" s="18">
        <v>82845</v>
      </c>
    </row>
    <row r="40" spans="1:5" ht="15.75" customHeight="1">
      <c r="A40" s="106" t="s">
        <v>1284</v>
      </c>
      <c r="B40" s="17" t="s">
        <v>1285</v>
      </c>
      <c r="C40" s="13" t="s">
        <v>16</v>
      </c>
      <c r="D40" s="98">
        <v>180</v>
      </c>
      <c r="E40" s="18">
        <v>39351</v>
      </c>
    </row>
    <row r="41" spans="1:5" ht="15.75" customHeight="1">
      <c r="A41" s="106" t="s">
        <v>1286</v>
      </c>
      <c r="B41" s="17" t="s">
        <v>1287</v>
      </c>
      <c r="C41" s="13" t="s">
        <v>16</v>
      </c>
      <c r="D41" s="98">
        <v>179</v>
      </c>
      <c r="E41" s="18">
        <v>44422</v>
      </c>
    </row>
    <row r="42" spans="1:5" ht="15.75" customHeight="1">
      <c r="A42" s="106" t="s">
        <v>1288</v>
      </c>
      <c r="B42" s="17" t="s">
        <v>1289</v>
      </c>
      <c r="C42" s="13" t="s">
        <v>16</v>
      </c>
      <c r="D42" s="98">
        <v>181</v>
      </c>
      <c r="E42" s="18">
        <v>33450</v>
      </c>
    </row>
    <row r="43" spans="1:5" ht="15.75" customHeight="1">
      <c r="A43" s="106" t="s">
        <v>1290</v>
      </c>
      <c r="B43" s="17" t="s">
        <v>1291</v>
      </c>
      <c r="C43" s="13" t="s">
        <v>1292</v>
      </c>
      <c r="D43" s="98">
        <v>103</v>
      </c>
      <c r="E43" s="18">
        <v>14950</v>
      </c>
    </row>
    <row r="44" spans="1:5" ht="15.75" customHeight="1">
      <c r="A44" s="106" t="s">
        <v>1293</v>
      </c>
      <c r="B44" s="17" t="s">
        <v>1294</v>
      </c>
      <c r="C44" s="13" t="s">
        <v>1254</v>
      </c>
      <c r="D44" s="98">
        <v>180</v>
      </c>
      <c r="E44" s="18">
        <v>77400</v>
      </c>
    </row>
    <row r="45" spans="1:5" ht="15.75" customHeight="1">
      <c r="A45" s="106" t="s">
        <v>1295</v>
      </c>
      <c r="B45" s="17" t="s">
        <v>1296</v>
      </c>
      <c r="C45" s="13" t="s">
        <v>18</v>
      </c>
      <c r="D45" s="98" t="s">
        <v>17</v>
      </c>
      <c r="E45" s="18">
        <v>10000</v>
      </c>
    </row>
    <row r="46" spans="1:5" ht="15.75" customHeight="1">
      <c r="A46" s="106" t="s">
        <v>1297</v>
      </c>
      <c r="B46" s="24" t="s">
        <v>1298</v>
      </c>
      <c r="C46" s="13" t="s">
        <v>1299</v>
      </c>
      <c r="D46" s="78" t="s">
        <v>1300</v>
      </c>
      <c r="E46" s="14">
        <v>45334</v>
      </c>
    </row>
    <row r="47" spans="1:5" ht="15.75" customHeight="1">
      <c r="A47" s="106" t="s">
        <v>1301</v>
      </c>
      <c r="B47" s="24" t="s">
        <v>1302</v>
      </c>
      <c r="C47" s="78" t="s">
        <v>1109</v>
      </c>
      <c r="D47" s="78">
        <v>207</v>
      </c>
      <c r="E47" s="14">
        <v>34610</v>
      </c>
    </row>
    <row r="48" spans="1:5" ht="15.75" customHeight="1">
      <c r="A48" s="106" t="s">
        <v>1303</v>
      </c>
      <c r="B48" s="17" t="s">
        <v>1304</v>
      </c>
      <c r="C48" s="78" t="s">
        <v>1305</v>
      </c>
      <c r="D48" s="78">
        <v>600</v>
      </c>
      <c r="E48" s="18">
        <v>26400</v>
      </c>
    </row>
    <row r="49" spans="1:5" ht="15.75" customHeight="1">
      <c r="A49" s="106" t="s">
        <v>1306</v>
      </c>
      <c r="B49" s="17" t="s">
        <v>1307</v>
      </c>
      <c r="C49" s="78" t="s">
        <v>1308</v>
      </c>
      <c r="D49" s="78" t="s">
        <v>1309</v>
      </c>
      <c r="E49" s="18">
        <v>90400</v>
      </c>
    </row>
    <row r="50" spans="1:5" ht="15.75" customHeight="1">
      <c r="A50" s="106" t="s">
        <v>1310</v>
      </c>
      <c r="B50" s="17" t="s">
        <v>1311</v>
      </c>
      <c r="C50" s="13" t="s">
        <v>600</v>
      </c>
      <c r="D50" s="78">
        <v>4515</v>
      </c>
      <c r="E50" s="18">
        <v>276000</v>
      </c>
    </row>
    <row r="51" spans="1:5" ht="15.75" customHeight="1">
      <c r="A51" s="106" t="s">
        <v>1312</v>
      </c>
      <c r="B51" s="17" t="s">
        <v>1313</v>
      </c>
      <c r="C51" s="13" t="s">
        <v>600</v>
      </c>
      <c r="D51" s="78">
        <v>4518</v>
      </c>
      <c r="E51" s="18">
        <v>64600</v>
      </c>
    </row>
    <row r="52" spans="1:5" ht="15.75" customHeight="1">
      <c r="A52" s="106" t="s">
        <v>1314</v>
      </c>
      <c r="B52" s="17" t="s">
        <v>1315</v>
      </c>
      <c r="C52" s="13" t="s">
        <v>896</v>
      </c>
      <c r="D52" s="78">
        <v>378</v>
      </c>
      <c r="E52" s="18">
        <v>63600</v>
      </c>
    </row>
    <row r="53" spans="1:5" ht="15.75" customHeight="1">
      <c r="A53" s="106" t="s">
        <v>1316</v>
      </c>
      <c r="B53" s="17" t="s">
        <v>1317</v>
      </c>
      <c r="C53" s="78" t="s">
        <v>1308</v>
      </c>
      <c r="D53" s="78" t="s">
        <v>1318</v>
      </c>
      <c r="E53" s="18">
        <v>13450</v>
      </c>
    </row>
    <row r="54" spans="1:5" ht="15.75" customHeight="1">
      <c r="A54" s="106" t="s">
        <v>1319</v>
      </c>
      <c r="B54" s="17" t="s">
        <v>1320</v>
      </c>
      <c r="C54" s="78" t="s">
        <v>1321</v>
      </c>
      <c r="D54" s="78">
        <v>2627</v>
      </c>
      <c r="E54" s="18">
        <v>21200</v>
      </c>
    </row>
    <row r="55" spans="1:5" ht="15.75" customHeight="1">
      <c r="A55" s="106" t="s">
        <v>1322</v>
      </c>
      <c r="B55" s="17" t="s">
        <v>1323</v>
      </c>
      <c r="C55" s="13" t="s">
        <v>1254</v>
      </c>
      <c r="D55" s="78">
        <v>185</v>
      </c>
      <c r="E55" s="18">
        <v>51813</v>
      </c>
    </row>
    <row r="56" spans="1:5" ht="15.75" customHeight="1">
      <c r="A56" s="106" t="s">
        <v>1324</v>
      </c>
      <c r="B56" s="17" t="s">
        <v>1325</v>
      </c>
      <c r="C56" s="13" t="s">
        <v>16</v>
      </c>
      <c r="D56" s="78">
        <v>194</v>
      </c>
      <c r="E56" s="18">
        <v>111092</v>
      </c>
    </row>
    <row r="57" spans="1:5" ht="15.75" customHeight="1">
      <c r="A57" s="106" t="s">
        <v>1326</v>
      </c>
      <c r="B57" s="17" t="s">
        <v>1327</v>
      </c>
      <c r="C57" s="13" t="s">
        <v>334</v>
      </c>
      <c r="D57" s="78">
        <v>129431514</v>
      </c>
      <c r="E57" s="18">
        <v>26700</v>
      </c>
    </row>
    <row r="58" spans="1:5" ht="15.75" customHeight="1">
      <c r="A58" s="106" t="s">
        <v>1328</v>
      </c>
      <c r="B58" s="17" t="s">
        <v>1329</v>
      </c>
      <c r="C58" s="13" t="s">
        <v>1330</v>
      </c>
      <c r="D58" s="78">
        <v>1076</v>
      </c>
      <c r="E58" s="18">
        <v>10829</v>
      </c>
    </row>
    <row r="59" spans="1:5" ht="15.75" customHeight="1">
      <c r="A59" s="106" t="s">
        <v>1331</v>
      </c>
      <c r="B59" s="17" t="s">
        <v>1332</v>
      </c>
      <c r="C59" s="13" t="s">
        <v>1265</v>
      </c>
      <c r="D59" s="78" t="s">
        <v>1333</v>
      </c>
      <c r="E59" s="18">
        <v>32337.5</v>
      </c>
    </row>
    <row r="60" spans="1:5" ht="15.75" customHeight="1">
      <c r="A60" s="106" t="s">
        <v>1334</v>
      </c>
      <c r="B60" s="17" t="s">
        <v>1335</v>
      </c>
      <c r="C60" s="13" t="s">
        <v>1336</v>
      </c>
      <c r="D60" s="78">
        <v>506</v>
      </c>
      <c r="E60" s="18">
        <v>160603.20000000001</v>
      </c>
    </row>
    <row r="61" spans="1:5" ht="15.75" customHeight="1">
      <c r="A61" s="106" t="s">
        <v>1337</v>
      </c>
      <c r="B61" s="17" t="s">
        <v>1338</v>
      </c>
      <c r="C61" s="13" t="s">
        <v>600</v>
      </c>
      <c r="D61" s="78">
        <v>4746</v>
      </c>
      <c r="E61" s="18">
        <v>34800</v>
      </c>
    </row>
    <row r="62" spans="1:5" ht="15.75" customHeight="1">
      <c r="A62" s="106" t="s">
        <v>1339</v>
      </c>
      <c r="B62" s="17" t="s">
        <v>1340</v>
      </c>
      <c r="C62" s="13" t="s">
        <v>619</v>
      </c>
      <c r="D62" s="78">
        <v>75</v>
      </c>
      <c r="E62" s="18">
        <v>1075200</v>
      </c>
    </row>
    <row r="63" spans="1:5" ht="15.75" customHeight="1">
      <c r="A63" s="106" t="s">
        <v>1341</v>
      </c>
      <c r="B63" s="17" t="s">
        <v>1342</v>
      </c>
      <c r="C63" s="13" t="s">
        <v>1254</v>
      </c>
      <c r="D63" s="78">
        <v>184</v>
      </c>
      <c r="E63" s="18">
        <v>35920</v>
      </c>
    </row>
    <row r="64" spans="1:5" ht="15.75" customHeight="1">
      <c r="A64" s="106" t="s">
        <v>1343</v>
      </c>
      <c r="B64" s="17" t="s">
        <v>1344</v>
      </c>
      <c r="C64" s="13" t="s">
        <v>1265</v>
      </c>
      <c r="D64" s="78" t="s">
        <v>1345</v>
      </c>
      <c r="E64" s="18">
        <v>95414.24</v>
      </c>
    </row>
    <row r="65" spans="1:5" ht="15.75" customHeight="1">
      <c r="A65" s="106" t="s">
        <v>1346</v>
      </c>
      <c r="B65" s="17" t="s">
        <v>1347</v>
      </c>
      <c r="C65" s="13" t="s">
        <v>781</v>
      </c>
      <c r="D65" s="78">
        <v>5620</v>
      </c>
      <c r="E65" s="18">
        <v>404420.97</v>
      </c>
    </row>
    <row r="66" spans="1:5" ht="15.75" customHeight="1">
      <c r="A66" s="106" t="s">
        <v>1348</v>
      </c>
      <c r="B66" s="17" t="s">
        <v>1349</v>
      </c>
      <c r="C66" s="13" t="s">
        <v>781</v>
      </c>
      <c r="D66" s="78">
        <v>5643</v>
      </c>
      <c r="E66" s="18">
        <v>69281.36</v>
      </c>
    </row>
    <row r="67" spans="1:5" ht="15.75" customHeight="1">
      <c r="A67" s="106" t="s">
        <v>1350</v>
      </c>
      <c r="B67" s="17" t="s">
        <v>1351</v>
      </c>
      <c r="C67" s="13" t="s">
        <v>1352</v>
      </c>
      <c r="D67" s="78" t="s">
        <v>1353</v>
      </c>
      <c r="E67" s="18">
        <v>2750</v>
      </c>
    </row>
    <row r="68" spans="1:5" ht="15.75" customHeight="1">
      <c r="A68" s="106" t="s">
        <v>1354</v>
      </c>
      <c r="B68" s="17" t="s">
        <v>1355</v>
      </c>
      <c r="C68" s="13" t="s">
        <v>1356</v>
      </c>
      <c r="D68" s="78" t="s">
        <v>1357</v>
      </c>
      <c r="E68" s="18">
        <v>96748.81</v>
      </c>
    </row>
    <row r="69" spans="1:5" ht="15.75" customHeight="1">
      <c r="A69" s="106" t="s">
        <v>1358</v>
      </c>
      <c r="B69" s="17" t="s">
        <v>1359</v>
      </c>
      <c r="C69" s="13" t="s">
        <v>1254</v>
      </c>
      <c r="D69" s="78">
        <v>184</v>
      </c>
      <c r="E69" s="18">
        <v>54600</v>
      </c>
    </row>
    <row r="70" spans="1:5" ht="15.75" customHeight="1">
      <c r="A70" s="106" t="s">
        <v>1360</v>
      </c>
      <c r="B70" s="17" t="s">
        <v>1264</v>
      </c>
      <c r="C70" s="13" t="s">
        <v>1361</v>
      </c>
      <c r="D70" s="78" t="s">
        <v>1362</v>
      </c>
      <c r="E70" s="18">
        <v>1680</v>
      </c>
    </row>
    <row r="71" spans="1:5" ht="15.75" customHeight="1">
      <c r="A71" s="106" t="s">
        <v>1363</v>
      </c>
      <c r="B71" s="17" t="s">
        <v>1364</v>
      </c>
      <c r="C71" s="13" t="s">
        <v>1361</v>
      </c>
      <c r="D71" s="78" t="s">
        <v>1365</v>
      </c>
      <c r="E71" s="18">
        <v>15632</v>
      </c>
    </row>
    <row r="72" spans="1:5" ht="15.75" customHeight="1">
      <c r="A72" s="106" t="s">
        <v>1366</v>
      </c>
      <c r="B72" s="17" t="s">
        <v>1367</v>
      </c>
      <c r="C72" s="13" t="s">
        <v>1280</v>
      </c>
      <c r="D72" s="78">
        <v>173</v>
      </c>
      <c r="E72" s="18">
        <v>10000</v>
      </c>
    </row>
    <row r="73" spans="1:5" ht="15.75" customHeight="1">
      <c r="A73" s="106" t="s">
        <v>1368</v>
      </c>
      <c r="B73" s="17" t="s">
        <v>1369</v>
      </c>
      <c r="C73" s="13" t="s">
        <v>1370</v>
      </c>
      <c r="D73" s="78" t="s">
        <v>1371</v>
      </c>
      <c r="E73" s="18">
        <v>18935</v>
      </c>
    </row>
    <row r="74" spans="1:5" ht="15.75" customHeight="1">
      <c r="A74" s="106" t="s">
        <v>1372</v>
      </c>
      <c r="B74" s="17" t="s">
        <v>1373</v>
      </c>
      <c r="C74" s="13" t="s">
        <v>1370</v>
      </c>
      <c r="D74" s="78" t="s">
        <v>1374</v>
      </c>
      <c r="E74" s="18">
        <v>11760</v>
      </c>
    </row>
    <row r="75" spans="1:5" ht="15.75" customHeight="1">
      <c r="A75" s="108" t="s">
        <v>24</v>
      </c>
      <c r="B75" s="203"/>
      <c r="C75" s="204"/>
      <c r="D75" s="205"/>
      <c r="E75" s="49">
        <f>SUM(E12:E74)</f>
        <v>6794681.8599999994</v>
      </c>
    </row>
    <row r="76" spans="1:5" ht="15.75" customHeight="1">
      <c r="A76" s="211"/>
      <c r="B76" s="196"/>
      <c r="C76" s="196"/>
      <c r="D76" s="196"/>
      <c r="E76" s="196"/>
    </row>
    <row r="77" spans="1:5" ht="15.75" customHeight="1">
      <c r="A77" s="211" t="s">
        <v>1375</v>
      </c>
      <c r="B77" s="196"/>
      <c r="C77" s="196"/>
      <c r="D77" s="196"/>
      <c r="E77" s="27">
        <f>IF(E75&gt;=10000000,5000000*2%+5000000*1%+(E75-10000000)*0.5%,IF(E75&gt;=5000000,5000000*2%+(E75-5000000)*1%,E75*2%))</f>
        <v>117946.8186</v>
      </c>
    </row>
    <row r="78" spans="1:5" ht="14.25" customHeight="1">
      <c r="A78" s="211" t="s">
        <v>25</v>
      </c>
      <c r="B78" s="196"/>
      <c r="C78" s="196"/>
      <c r="D78" s="196"/>
      <c r="E78" s="196"/>
    </row>
    <row r="79" spans="1:5" ht="35.25" customHeight="1">
      <c r="A79" s="211"/>
      <c r="B79" s="196"/>
      <c r="C79" s="196"/>
      <c r="D79" s="196"/>
      <c r="E79" s="196"/>
    </row>
    <row r="80" spans="1:5" ht="15.75" customHeight="1">
      <c r="A80" s="211" t="s">
        <v>26</v>
      </c>
      <c r="B80" s="196"/>
      <c r="C80" s="196"/>
      <c r="D80" s="196"/>
      <c r="E80" s="196"/>
    </row>
    <row r="81" spans="1:5" ht="15.75" customHeight="1">
      <c r="A81" s="211" t="s">
        <v>27</v>
      </c>
      <c r="B81" s="196"/>
      <c r="C81" s="196"/>
      <c r="D81" s="196"/>
      <c r="E81" s="196"/>
    </row>
    <row r="82" spans="1:5" ht="15.75" customHeight="1">
      <c r="A82" s="211" t="s">
        <v>28</v>
      </c>
      <c r="B82" s="196"/>
      <c r="C82" s="196"/>
      <c r="D82" s="196"/>
      <c r="E82" s="196"/>
    </row>
  </sheetData>
  <mergeCells count="18">
    <mergeCell ref="A82:E82"/>
    <mergeCell ref="A8:E8"/>
    <mergeCell ref="A9:E9"/>
    <mergeCell ref="A10:E10"/>
    <mergeCell ref="B75:D75"/>
    <mergeCell ref="A76:E76"/>
    <mergeCell ref="A77:D77"/>
    <mergeCell ref="A78:E78"/>
    <mergeCell ref="A6:E6"/>
    <mergeCell ref="A7:E7"/>
    <mergeCell ref="A79:E79"/>
    <mergeCell ref="A80:E80"/>
    <mergeCell ref="A81:E81"/>
    <mergeCell ref="A1:E1"/>
    <mergeCell ref="A2:E2"/>
    <mergeCell ref="A3:E3"/>
    <mergeCell ref="A4:E4"/>
    <mergeCell ref="A5:E5"/>
  </mergeCells>
  <conditionalFormatting sqref="E12:E74">
    <cfRule type="notContainsBlanks" dxfId="59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  <pageSetUpPr fitToPage="1"/>
  </sheetPr>
  <dimension ref="A1:E63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1376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06" t="s">
        <v>1209</v>
      </c>
      <c r="B12" s="17" t="s">
        <v>1216</v>
      </c>
      <c r="C12" s="13" t="s">
        <v>56</v>
      </c>
      <c r="D12" s="78">
        <v>128</v>
      </c>
      <c r="E12" s="18">
        <v>151167</v>
      </c>
    </row>
    <row r="13" spans="1:5" ht="15.75" customHeight="1">
      <c r="A13" s="106" t="s">
        <v>1212</v>
      </c>
      <c r="B13" s="17" t="s">
        <v>1218</v>
      </c>
      <c r="C13" s="13" t="s">
        <v>1219</v>
      </c>
      <c r="D13" s="78" t="s">
        <v>1220</v>
      </c>
      <c r="E13" s="18">
        <v>42960</v>
      </c>
    </row>
    <row r="14" spans="1:5" ht="15.75" customHeight="1">
      <c r="A14" s="106" t="s">
        <v>1215</v>
      </c>
      <c r="B14" s="24" t="s">
        <v>1222</v>
      </c>
      <c r="C14" s="78" t="s">
        <v>1223</v>
      </c>
      <c r="D14" s="78">
        <v>1007</v>
      </c>
      <c r="E14" s="18">
        <v>239697.71</v>
      </c>
    </row>
    <row r="15" spans="1:5" ht="15.75" customHeight="1">
      <c r="A15" s="106" t="s">
        <v>1217</v>
      </c>
      <c r="B15" s="17" t="s">
        <v>1225</v>
      </c>
      <c r="C15" s="78" t="s">
        <v>1223</v>
      </c>
      <c r="D15" s="78">
        <v>1006</v>
      </c>
      <c r="E15" s="18">
        <v>317460</v>
      </c>
    </row>
    <row r="16" spans="1:5" ht="15.75" customHeight="1">
      <c r="A16" s="106" t="s">
        <v>1221</v>
      </c>
      <c r="B16" s="17" t="s">
        <v>1227</v>
      </c>
      <c r="C16" s="13" t="s">
        <v>805</v>
      </c>
      <c r="D16" s="98">
        <v>237</v>
      </c>
      <c r="E16" s="18">
        <v>288500</v>
      </c>
    </row>
    <row r="17" spans="1:5" ht="15.75" customHeight="1">
      <c r="A17" s="106" t="s">
        <v>1224</v>
      </c>
      <c r="B17" s="24" t="s">
        <v>1229</v>
      </c>
      <c r="C17" s="13" t="s">
        <v>805</v>
      </c>
      <c r="D17" s="78">
        <v>241</v>
      </c>
      <c r="E17" s="14">
        <v>147000</v>
      </c>
    </row>
    <row r="18" spans="1:5" ht="15.75" customHeight="1">
      <c r="A18" s="106" t="s">
        <v>1226</v>
      </c>
      <c r="B18" s="17" t="s">
        <v>1231</v>
      </c>
      <c r="C18" s="13" t="s">
        <v>1177</v>
      </c>
      <c r="D18" s="78">
        <v>163</v>
      </c>
      <c r="E18" s="18">
        <v>247500</v>
      </c>
    </row>
    <row r="19" spans="1:5" ht="15.75" customHeight="1">
      <c r="A19" s="106" t="s">
        <v>1228</v>
      </c>
      <c r="B19" s="12" t="s">
        <v>1233</v>
      </c>
      <c r="C19" s="13" t="s">
        <v>355</v>
      </c>
      <c r="D19" s="13">
        <v>624</v>
      </c>
      <c r="E19" s="14">
        <v>83900</v>
      </c>
    </row>
    <row r="20" spans="1:5" ht="15.75" customHeight="1">
      <c r="A20" s="106" t="s">
        <v>1230</v>
      </c>
      <c r="B20" s="80" t="s">
        <v>1235</v>
      </c>
      <c r="C20" s="13" t="s">
        <v>238</v>
      </c>
      <c r="D20" s="78">
        <v>316</v>
      </c>
      <c r="E20" s="14">
        <v>64350</v>
      </c>
    </row>
    <row r="21" spans="1:5" ht="15.75" customHeight="1">
      <c r="A21" s="106" t="s">
        <v>1232</v>
      </c>
      <c r="B21" s="17" t="s">
        <v>1237</v>
      </c>
      <c r="C21" s="78" t="s">
        <v>1238</v>
      </c>
      <c r="D21" s="13" t="s">
        <v>1239</v>
      </c>
      <c r="E21" s="18">
        <v>18999</v>
      </c>
    </row>
    <row r="22" spans="1:5" ht="15.75" customHeight="1">
      <c r="A22" s="106" t="s">
        <v>1234</v>
      </c>
      <c r="B22" s="17" t="s">
        <v>1241</v>
      </c>
      <c r="C22" s="78" t="s">
        <v>41</v>
      </c>
      <c r="D22" s="13">
        <v>202</v>
      </c>
      <c r="E22" s="18">
        <v>22090</v>
      </c>
    </row>
    <row r="23" spans="1:5" ht="15.75" customHeight="1">
      <c r="A23" s="106" t="s">
        <v>1236</v>
      </c>
      <c r="B23" s="24" t="s">
        <v>1243</v>
      </c>
      <c r="C23" s="78" t="s">
        <v>1244</v>
      </c>
      <c r="D23" s="78">
        <v>3101</v>
      </c>
      <c r="E23" s="18">
        <v>46000</v>
      </c>
    </row>
    <row r="24" spans="1:5" ht="15.75" customHeight="1">
      <c r="A24" s="106" t="s">
        <v>1240</v>
      </c>
      <c r="B24" s="12" t="s">
        <v>1246</v>
      </c>
      <c r="C24" s="13" t="s">
        <v>600</v>
      </c>
      <c r="D24" s="13">
        <v>4040</v>
      </c>
      <c r="E24" s="14">
        <v>54500</v>
      </c>
    </row>
    <row r="25" spans="1:5" ht="15.75" customHeight="1">
      <c r="A25" s="106" t="s">
        <v>1242</v>
      </c>
      <c r="B25" s="24" t="s">
        <v>1248</v>
      </c>
      <c r="C25" s="13" t="s">
        <v>1185</v>
      </c>
      <c r="D25" s="78">
        <v>41918</v>
      </c>
      <c r="E25" s="18">
        <v>65100</v>
      </c>
    </row>
    <row r="26" spans="1:5" ht="15.75" customHeight="1">
      <c r="A26" s="106" t="s">
        <v>1245</v>
      </c>
      <c r="B26" s="17" t="s">
        <v>1258</v>
      </c>
      <c r="C26" s="78" t="s">
        <v>896</v>
      </c>
      <c r="D26" s="98">
        <v>345</v>
      </c>
      <c r="E26" s="18">
        <v>13500</v>
      </c>
    </row>
    <row r="27" spans="1:5" ht="15.75" customHeight="1">
      <c r="A27" s="106" t="s">
        <v>1247</v>
      </c>
      <c r="B27" s="92" t="s">
        <v>1260</v>
      </c>
      <c r="C27" s="78" t="s">
        <v>1261</v>
      </c>
      <c r="D27" s="98" t="s">
        <v>1262</v>
      </c>
      <c r="E27" s="18">
        <v>119885</v>
      </c>
    </row>
    <row r="28" spans="1:5" ht="15.75" customHeight="1">
      <c r="A28" s="106" t="s">
        <v>1249</v>
      </c>
      <c r="B28" s="24" t="s">
        <v>1264</v>
      </c>
      <c r="C28" s="42" t="s">
        <v>1265</v>
      </c>
      <c r="D28" s="107" t="s">
        <v>1266</v>
      </c>
      <c r="E28" s="44">
        <v>29721.51</v>
      </c>
    </row>
    <row r="29" spans="1:5" ht="15.75" customHeight="1">
      <c r="A29" s="106" t="s">
        <v>1252</v>
      </c>
      <c r="B29" s="17" t="s">
        <v>1268</v>
      </c>
      <c r="C29" s="13" t="s">
        <v>19</v>
      </c>
      <c r="D29" s="98" t="s">
        <v>1269</v>
      </c>
      <c r="E29" s="18">
        <v>30778.560000000001</v>
      </c>
    </row>
    <row r="30" spans="1:5" ht="15.75" customHeight="1">
      <c r="A30" s="106" t="s">
        <v>1255</v>
      </c>
      <c r="B30" s="17" t="s">
        <v>1271</v>
      </c>
      <c r="C30" s="13" t="s">
        <v>1272</v>
      </c>
      <c r="D30" s="98">
        <v>128457053</v>
      </c>
      <c r="E30" s="18">
        <v>12540</v>
      </c>
    </row>
    <row r="31" spans="1:5" ht="15.75" customHeight="1">
      <c r="A31" s="106" t="s">
        <v>1257</v>
      </c>
      <c r="B31" s="17" t="s">
        <v>1274</v>
      </c>
      <c r="C31" s="78" t="s">
        <v>1161</v>
      </c>
      <c r="D31" s="98">
        <v>31</v>
      </c>
      <c r="E31" s="18">
        <v>264100</v>
      </c>
    </row>
    <row r="32" spans="1:5" ht="15.75" customHeight="1">
      <c r="A32" s="106" t="s">
        <v>1259</v>
      </c>
      <c r="B32" s="17" t="s">
        <v>1276</v>
      </c>
      <c r="C32" s="78" t="s">
        <v>1277</v>
      </c>
      <c r="D32" s="98">
        <v>11622</v>
      </c>
      <c r="E32" s="18">
        <v>98930</v>
      </c>
    </row>
    <row r="33" spans="1:5" ht="15.75" customHeight="1">
      <c r="A33" s="106" t="s">
        <v>1263</v>
      </c>
      <c r="B33" s="17" t="s">
        <v>1279</v>
      </c>
      <c r="C33" s="13" t="s">
        <v>1280</v>
      </c>
      <c r="D33" s="98">
        <v>135</v>
      </c>
      <c r="E33" s="18">
        <v>16000</v>
      </c>
    </row>
    <row r="34" spans="1:5" ht="15.75" customHeight="1">
      <c r="A34" s="106" t="s">
        <v>1267</v>
      </c>
      <c r="B34" s="17" t="s">
        <v>1285</v>
      </c>
      <c r="C34" s="13" t="s">
        <v>16</v>
      </c>
      <c r="D34" s="98">
        <v>180</v>
      </c>
      <c r="E34" s="18">
        <v>39351</v>
      </c>
    </row>
    <row r="35" spans="1:5" ht="15.75" customHeight="1">
      <c r="A35" s="106" t="s">
        <v>1270</v>
      </c>
      <c r="B35" s="17" t="s">
        <v>1287</v>
      </c>
      <c r="C35" s="13" t="s">
        <v>16</v>
      </c>
      <c r="D35" s="98">
        <v>179</v>
      </c>
      <c r="E35" s="18">
        <v>44422</v>
      </c>
    </row>
    <row r="36" spans="1:5" ht="15.75" customHeight="1">
      <c r="A36" s="106" t="s">
        <v>1273</v>
      </c>
      <c r="B36" s="17" t="s">
        <v>1289</v>
      </c>
      <c r="C36" s="13" t="s">
        <v>16</v>
      </c>
      <c r="D36" s="98">
        <v>181</v>
      </c>
      <c r="E36" s="18">
        <v>33450</v>
      </c>
    </row>
    <row r="37" spans="1:5" ht="15.75" customHeight="1">
      <c r="A37" s="106" t="s">
        <v>1275</v>
      </c>
      <c r="B37" s="17" t="s">
        <v>1291</v>
      </c>
      <c r="C37" s="13" t="s">
        <v>1292</v>
      </c>
      <c r="D37" s="98">
        <v>103</v>
      </c>
      <c r="E37" s="18">
        <v>14950</v>
      </c>
    </row>
    <row r="38" spans="1:5" ht="15.75" customHeight="1">
      <c r="A38" s="106" t="s">
        <v>1278</v>
      </c>
      <c r="B38" s="24" t="s">
        <v>1298</v>
      </c>
      <c r="C38" s="13" t="s">
        <v>1299</v>
      </c>
      <c r="D38" s="78" t="s">
        <v>1300</v>
      </c>
      <c r="E38" s="14">
        <v>45334</v>
      </c>
    </row>
    <row r="39" spans="1:5" ht="15.75" customHeight="1">
      <c r="A39" s="106" t="s">
        <v>1281</v>
      </c>
      <c r="B39" s="24" t="s">
        <v>1302</v>
      </c>
      <c r="C39" s="78" t="s">
        <v>1109</v>
      </c>
      <c r="D39" s="78">
        <v>207</v>
      </c>
      <c r="E39" s="14">
        <v>34610</v>
      </c>
    </row>
    <row r="40" spans="1:5" ht="15.75" customHeight="1">
      <c r="A40" s="106" t="s">
        <v>1284</v>
      </c>
      <c r="B40" s="17" t="s">
        <v>1304</v>
      </c>
      <c r="C40" s="78" t="s">
        <v>1305</v>
      </c>
      <c r="D40" s="78">
        <v>600</v>
      </c>
      <c r="E40" s="18">
        <v>26400</v>
      </c>
    </row>
    <row r="41" spans="1:5" ht="15.75" customHeight="1">
      <c r="A41" s="106" t="s">
        <v>1286</v>
      </c>
      <c r="B41" s="17" t="s">
        <v>1307</v>
      </c>
      <c r="C41" s="78" t="s">
        <v>1308</v>
      </c>
      <c r="D41" s="78" t="s">
        <v>1309</v>
      </c>
      <c r="E41" s="18">
        <v>90400</v>
      </c>
    </row>
    <row r="42" spans="1:5" ht="15.75" customHeight="1">
      <c r="A42" s="106" t="s">
        <v>1288</v>
      </c>
      <c r="B42" s="17" t="s">
        <v>1311</v>
      </c>
      <c r="C42" s="13" t="s">
        <v>600</v>
      </c>
      <c r="D42" s="78">
        <v>4515</v>
      </c>
      <c r="E42" s="18">
        <v>276000</v>
      </c>
    </row>
    <row r="43" spans="1:5" ht="15.75" customHeight="1">
      <c r="A43" s="106" t="s">
        <v>1290</v>
      </c>
      <c r="B43" s="17" t="s">
        <v>1313</v>
      </c>
      <c r="C43" s="13" t="s">
        <v>600</v>
      </c>
      <c r="D43" s="78">
        <v>4518</v>
      </c>
      <c r="E43" s="18">
        <v>64600</v>
      </c>
    </row>
    <row r="44" spans="1:5" ht="15.75" customHeight="1">
      <c r="A44" s="106" t="s">
        <v>1293</v>
      </c>
      <c r="B44" s="17" t="s">
        <v>1315</v>
      </c>
      <c r="C44" s="13" t="s">
        <v>896</v>
      </c>
      <c r="D44" s="78">
        <v>378</v>
      </c>
      <c r="E44" s="18">
        <v>63600</v>
      </c>
    </row>
    <row r="45" spans="1:5" ht="15.75" customHeight="1">
      <c r="A45" s="106" t="s">
        <v>1295</v>
      </c>
      <c r="B45" s="17" t="s">
        <v>1320</v>
      </c>
      <c r="C45" s="78" t="s">
        <v>1321</v>
      </c>
      <c r="D45" s="78">
        <v>2627</v>
      </c>
      <c r="E45" s="18">
        <v>21200</v>
      </c>
    </row>
    <row r="46" spans="1:5" ht="15.75" customHeight="1">
      <c r="A46" s="106" t="s">
        <v>1297</v>
      </c>
      <c r="B46" s="17" t="s">
        <v>1325</v>
      </c>
      <c r="C46" s="13" t="s">
        <v>16</v>
      </c>
      <c r="D46" s="78">
        <v>194</v>
      </c>
      <c r="E46" s="18">
        <v>111092</v>
      </c>
    </row>
    <row r="47" spans="1:5" ht="15.75" customHeight="1">
      <c r="A47" s="106" t="s">
        <v>1301</v>
      </c>
      <c r="B47" s="17" t="s">
        <v>1327</v>
      </c>
      <c r="C47" s="13" t="s">
        <v>334</v>
      </c>
      <c r="D47" s="78">
        <v>129431514</v>
      </c>
      <c r="E47" s="18">
        <v>26700</v>
      </c>
    </row>
    <row r="48" spans="1:5" ht="15.75" customHeight="1">
      <c r="A48" s="106" t="s">
        <v>1303</v>
      </c>
      <c r="B48" s="17" t="s">
        <v>1329</v>
      </c>
      <c r="C48" s="13" t="s">
        <v>1330</v>
      </c>
      <c r="D48" s="78">
        <v>1076</v>
      </c>
      <c r="E48" s="18">
        <v>10829</v>
      </c>
    </row>
    <row r="49" spans="1:5" ht="15.75" customHeight="1">
      <c r="A49" s="106" t="s">
        <v>1306</v>
      </c>
      <c r="B49" s="17" t="s">
        <v>1332</v>
      </c>
      <c r="C49" s="13" t="s">
        <v>1265</v>
      </c>
      <c r="D49" s="78" t="s">
        <v>1333</v>
      </c>
      <c r="E49" s="18">
        <v>32337.5</v>
      </c>
    </row>
    <row r="50" spans="1:5" ht="15.75" customHeight="1">
      <c r="A50" s="106" t="s">
        <v>1310</v>
      </c>
      <c r="B50" s="17" t="s">
        <v>1335</v>
      </c>
      <c r="C50" s="13" t="s">
        <v>1336</v>
      </c>
      <c r="D50" s="78">
        <v>506</v>
      </c>
      <c r="E50" s="18">
        <v>160603.20000000001</v>
      </c>
    </row>
    <row r="51" spans="1:5" ht="15.75" customHeight="1">
      <c r="A51" s="106" t="s">
        <v>1312</v>
      </c>
      <c r="B51" s="17" t="s">
        <v>1338</v>
      </c>
      <c r="C51" s="13" t="s">
        <v>600</v>
      </c>
      <c r="D51" s="78">
        <v>4746</v>
      </c>
      <c r="E51" s="18">
        <v>34800</v>
      </c>
    </row>
    <row r="52" spans="1:5" ht="15.75" customHeight="1">
      <c r="A52" s="106" t="s">
        <v>1314</v>
      </c>
      <c r="B52" s="17" t="s">
        <v>1344</v>
      </c>
      <c r="C52" s="13" t="s">
        <v>1265</v>
      </c>
      <c r="D52" s="78" t="s">
        <v>1345</v>
      </c>
      <c r="E52" s="18">
        <v>95414.24</v>
      </c>
    </row>
    <row r="53" spans="1:5" ht="15.75" customHeight="1">
      <c r="A53" s="106" t="s">
        <v>1316</v>
      </c>
      <c r="B53" s="17" t="s">
        <v>1347</v>
      </c>
      <c r="C53" s="13" t="s">
        <v>781</v>
      </c>
      <c r="D53" s="78">
        <v>5620</v>
      </c>
      <c r="E53" s="18">
        <v>404420.97</v>
      </c>
    </row>
    <row r="54" spans="1:5" ht="15.75" customHeight="1">
      <c r="A54" s="106" t="s">
        <v>1319</v>
      </c>
      <c r="B54" s="17" t="s">
        <v>1349</v>
      </c>
      <c r="C54" s="13" t="s">
        <v>781</v>
      </c>
      <c r="D54" s="78">
        <v>5643</v>
      </c>
      <c r="E54" s="18">
        <v>69281.36</v>
      </c>
    </row>
    <row r="55" spans="1:5" ht="15.75" customHeight="1">
      <c r="A55" s="106" t="s">
        <v>1322</v>
      </c>
      <c r="B55" s="17" t="s">
        <v>1355</v>
      </c>
      <c r="C55" s="13" t="s">
        <v>1356</v>
      </c>
      <c r="D55" s="78" t="s">
        <v>1357</v>
      </c>
      <c r="E55" s="18">
        <v>96262.8</v>
      </c>
    </row>
    <row r="56" spans="1:5" ht="15.75" customHeight="1">
      <c r="A56" s="108" t="s">
        <v>24</v>
      </c>
      <c r="B56" s="203"/>
      <c r="C56" s="204"/>
      <c r="D56" s="205"/>
      <c r="E56" s="49">
        <f>SUM(E12:E55)</f>
        <v>4170736.85</v>
      </c>
    </row>
    <row r="57" spans="1:5" ht="15.75" customHeight="1">
      <c r="A57" s="211"/>
      <c r="B57" s="196"/>
      <c r="C57" s="196"/>
      <c r="D57" s="196"/>
      <c r="E57" s="196"/>
    </row>
    <row r="58" spans="1:5" ht="15.75" customHeight="1">
      <c r="A58" s="211" t="s">
        <v>1377</v>
      </c>
      <c r="B58" s="196"/>
      <c r="C58" s="196"/>
      <c r="D58" s="196"/>
      <c r="E58" s="27">
        <f>E56*8%</f>
        <v>333658.94800000003</v>
      </c>
    </row>
    <row r="59" spans="1:5" ht="14.25" customHeight="1">
      <c r="A59" s="211" t="s">
        <v>25</v>
      </c>
      <c r="B59" s="196"/>
      <c r="C59" s="196"/>
      <c r="D59" s="196"/>
      <c r="E59" s="196"/>
    </row>
    <row r="60" spans="1:5" ht="35.25" customHeight="1">
      <c r="A60" s="211"/>
      <c r="B60" s="196"/>
      <c r="C60" s="196"/>
      <c r="D60" s="196"/>
      <c r="E60" s="196"/>
    </row>
    <row r="61" spans="1:5" ht="15.75" customHeight="1">
      <c r="A61" s="211" t="s">
        <v>26</v>
      </c>
      <c r="B61" s="196"/>
      <c r="C61" s="196"/>
      <c r="D61" s="196"/>
      <c r="E61" s="196"/>
    </row>
    <row r="62" spans="1:5" ht="15.75" customHeight="1">
      <c r="A62" s="211" t="s">
        <v>27</v>
      </c>
      <c r="B62" s="196"/>
      <c r="C62" s="196"/>
      <c r="D62" s="196"/>
      <c r="E62" s="196"/>
    </row>
    <row r="63" spans="1:5" ht="15.75" customHeight="1">
      <c r="A63" s="211" t="s">
        <v>28</v>
      </c>
      <c r="B63" s="196"/>
      <c r="C63" s="196"/>
      <c r="D63" s="196"/>
      <c r="E63" s="196"/>
    </row>
  </sheetData>
  <mergeCells count="18">
    <mergeCell ref="A63:E63"/>
    <mergeCell ref="A8:E8"/>
    <mergeCell ref="A9:E9"/>
    <mergeCell ref="A10:E10"/>
    <mergeCell ref="B56:D56"/>
    <mergeCell ref="A57:E57"/>
    <mergeCell ref="A58:D58"/>
    <mergeCell ref="A59:E59"/>
    <mergeCell ref="A6:E6"/>
    <mergeCell ref="A7:E7"/>
    <mergeCell ref="A60:E60"/>
    <mergeCell ref="A61:E61"/>
    <mergeCell ref="A62:E62"/>
    <mergeCell ref="A1:E1"/>
    <mergeCell ref="A2:E2"/>
    <mergeCell ref="A3:E3"/>
    <mergeCell ref="A4:E4"/>
    <mergeCell ref="A5:E5"/>
  </mergeCells>
  <conditionalFormatting sqref="E12:E55">
    <cfRule type="notContainsBlanks" dxfId="58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  <pageSetUpPr fitToPage="1"/>
  </sheetPr>
  <dimension ref="A1:E48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1378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1379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06" t="s">
        <v>1209</v>
      </c>
      <c r="B12" s="17" t="s">
        <v>1380</v>
      </c>
      <c r="C12" s="78" t="s">
        <v>805</v>
      </c>
      <c r="D12" s="98">
        <v>365</v>
      </c>
      <c r="E12" s="18">
        <v>390000</v>
      </c>
    </row>
    <row r="13" spans="1:5" ht="15.75" customHeight="1">
      <c r="A13" s="106" t="s">
        <v>1212</v>
      </c>
      <c r="B13" s="17" t="s">
        <v>1381</v>
      </c>
      <c r="C13" s="13" t="s">
        <v>1272</v>
      </c>
      <c r="D13" s="98">
        <v>128458021</v>
      </c>
      <c r="E13" s="18">
        <v>49290</v>
      </c>
    </row>
    <row r="14" spans="1:5" ht="15.75" customHeight="1">
      <c r="A14" s="106" t="s">
        <v>1215</v>
      </c>
      <c r="B14" s="24" t="s">
        <v>1382</v>
      </c>
      <c r="C14" s="42" t="s">
        <v>14</v>
      </c>
      <c r="D14" s="107" t="s">
        <v>1383</v>
      </c>
      <c r="E14" s="44">
        <v>22700</v>
      </c>
    </row>
    <row r="15" spans="1:5" ht="15.75" customHeight="1">
      <c r="A15" s="106" t="s">
        <v>1217</v>
      </c>
      <c r="B15" s="12" t="s">
        <v>1384</v>
      </c>
      <c r="C15" s="13" t="s">
        <v>1361</v>
      </c>
      <c r="D15" s="13" t="s">
        <v>1385</v>
      </c>
      <c r="E15" s="14">
        <v>20190</v>
      </c>
    </row>
    <row r="16" spans="1:5" ht="15.75" customHeight="1">
      <c r="A16" s="106" t="s">
        <v>1221</v>
      </c>
      <c r="B16" s="80" t="s">
        <v>1386</v>
      </c>
      <c r="C16" s="13" t="s">
        <v>1361</v>
      </c>
      <c r="D16" s="13" t="s">
        <v>1387</v>
      </c>
      <c r="E16" s="14">
        <v>34312</v>
      </c>
    </row>
    <row r="17" spans="1:5" ht="15.75" customHeight="1">
      <c r="A17" s="106" t="s">
        <v>1224</v>
      </c>
      <c r="B17" s="17" t="s">
        <v>1388</v>
      </c>
      <c r="C17" s="78" t="s">
        <v>665</v>
      </c>
      <c r="D17" s="13" t="s">
        <v>1389</v>
      </c>
      <c r="E17" s="18">
        <v>16800</v>
      </c>
    </row>
    <row r="18" spans="1:5" ht="15.75" customHeight="1">
      <c r="A18" s="106" t="s">
        <v>1226</v>
      </c>
      <c r="B18" s="17" t="s">
        <v>1390</v>
      </c>
      <c r="C18" s="13" t="s">
        <v>1361</v>
      </c>
      <c r="D18" s="13" t="s">
        <v>1391</v>
      </c>
      <c r="E18" s="18">
        <v>68360</v>
      </c>
    </row>
    <row r="19" spans="1:5" ht="15.75" customHeight="1">
      <c r="A19" s="106" t="s">
        <v>1228</v>
      </c>
      <c r="B19" s="109" t="s">
        <v>1392</v>
      </c>
      <c r="C19" s="42" t="s">
        <v>877</v>
      </c>
      <c r="D19" s="107">
        <v>467</v>
      </c>
      <c r="E19" s="44">
        <v>6000</v>
      </c>
    </row>
    <row r="20" spans="1:5" ht="15.75" customHeight="1">
      <c r="A20" s="106" t="s">
        <v>1230</v>
      </c>
      <c r="B20" s="24" t="s">
        <v>1393</v>
      </c>
      <c r="C20" s="13" t="s">
        <v>1203</v>
      </c>
      <c r="D20" s="78">
        <v>350</v>
      </c>
      <c r="E20" s="18">
        <v>425000</v>
      </c>
    </row>
    <row r="21" spans="1:5" ht="15.75" customHeight="1">
      <c r="A21" s="106" t="s">
        <v>1232</v>
      </c>
      <c r="B21" s="24" t="s">
        <v>1394</v>
      </c>
      <c r="C21" s="13" t="s">
        <v>1395</v>
      </c>
      <c r="D21" s="98">
        <v>338</v>
      </c>
      <c r="E21" s="14">
        <v>26200</v>
      </c>
    </row>
    <row r="22" spans="1:5" ht="15.75" customHeight="1">
      <c r="A22" s="106" t="s">
        <v>1234</v>
      </c>
      <c r="B22" s="17" t="s">
        <v>1396</v>
      </c>
      <c r="C22" s="13" t="s">
        <v>472</v>
      </c>
      <c r="D22" s="98">
        <v>4385</v>
      </c>
      <c r="E22" s="18">
        <v>34180</v>
      </c>
    </row>
    <row r="23" spans="1:5" ht="15.75" customHeight="1">
      <c r="A23" s="106" t="s">
        <v>1236</v>
      </c>
      <c r="B23" s="17" t="s">
        <v>1397</v>
      </c>
      <c r="C23" s="13" t="s">
        <v>1398</v>
      </c>
      <c r="D23" s="98" t="s">
        <v>1399</v>
      </c>
      <c r="E23" s="18">
        <v>247189.87</v>
      </c>
    </row>
    <row r="24" spans="1:5" ht="15.75" customHeight="1">
      <c r="A24" s="106" t="s">
        <v>1240</v>
      </c>
      <c r="B24" s="17" t="s">
        <v>1400</v>
      </c>
      <c r="C24" s="78" t="s">
        <v>665</v>
      </c>
      <c r="D24" s="98" t="s">
        <v>1401</v>
      </c>
      <c r="E24" s="18">
        <v>51400</v>
      </c>
    </row>
    <row r="25" spans="1:5" ht="15.75" customHeight="1">
      <c r="A25" s="106" t="s">
        <v>1242</v>
      </c>
      <c r="B25" s="92" t="s">
        <v>1402</v>
      </c>
      <c r="C25" s="78" t="s">
        <v>1203</v>
      </c>
      <c r="D25" s="98" t="s">
        <v>1403</v>
      </c>
      <c r="E25" s="18">
        <v>54100</v>
      </c>
    </row>
    <row r="26" spans="1:5" ht="15.75" customHeight="1">
      <c r="A26" s="106" t="s">
        <v>1245</v>
      </c>
      <c r="B26" s="17" t="s">
        <v>1404</v>
      </c>
      <c r="C26" s="13" t="s">
        <v>1405</v>
      </c>
      <c r="D26" s="98">
        <v>2</v>
      </c>
      <c r="E26" s="18">
        <v>17000</v>
      </c>
    </row>
    <row r="27" spans="1:5" ht="15.75" customHeight="1">
      <c r="A27" s="106" t="s">
        <v>1247</v>
      </c>
      <c r="B27" s="17" t="s">
        <v>1406</v>
      </c>
      <c r="C27" s="13" t="s">
        <v>1407</v>
      </c>
      <c r="D27" s="98" t="s">
        <v>1408</v>
      </c>
      <c r="E27" s="18">
        <v>15000</v>
      </c>
    </row>
    <row r="28" spans="1:5" ht="15.75" customHeight="1">
      <c r="A28" s="106" t="s">
        <v>1249</v>
      </c>
      <c r="B28" s="17" t="s">
        <v>1409</v>
      </c>
      <c r="C28" s="78" t="s">
        <v>1321</v>
      </c>
      <c r="D28" s="98">
        <v>3363</v>
      </c>
      <c r="E28" s="18">
        <v>3000</v>
      </c>
    </row>
    <row r="29" spans="1:5" ht="15.75" customHeight="1">
      <c r="A29" s="106" t="s">
        <v>1252</v>
      </c>
      <c r="B29" s="17" t="s">
        <v>1410</v>
      </c>
      <c r="C29" s="78" t="s">
        <v>403</v>
      </c>
      <c r="D29" s="98" t="s">
        <v>1411</v>
      </c>
      <c r="E29" s="18">
        <v>35000</v>
      </c>
    </row>
    <row r="30" spans="1:5" ht="15.75" customHeight="1">
      <c r="A30" s="106" t="s">
        <v>1255</v>
      </c>
      <c r="B30" s="17" t="s">
        <v>1412</v>
      </c>
      <c r="C30" s="13" t="s">
        <v>1203</v>
      </c>
      <c r="D30" s="98" t="s">
        <v>1413</v>
      </c>
      <c r="E30" s="18">
        <v>54100</v>
      </c>
    </row>
    <row r="31" spans="1:5" ht="15.75" customHeight="1">
      <c r="A31" s="106" t="s">
        <v>1257</v>
      </c>
      <c r="B31" s="17" t="s">
        <v>1414</v>
      </c>
      <c r="C31" s="13" t="s">
        <v>1415</v>
      </c>
      <c r="D31" s="98" t="s">
        <v>1416</v>
      </c>
      <c r="E31" s="18">
        <v>9286.2000000000007</v>
      </c>
    </row>
    <row r="32" spans="1:5" ht="15.75" customHeight="1">
      <c r="A32" s="106" t="s">
        <v>1259</v>
      </c>
      <c r="B32" s="17" t="s">
        <v>1417</v>
      </c>
      <c r="C32" s="13" t="s">
        <v>757</v>
      </c>
      <c r="D32" s="98" t="s">
        <v>1418</v>
      </c>
      <c r="E32" s="18">
        <v>8903.57</v>
      </c>
    </row>
    <row r="33" spans="1:5" ht="15.75" customHeight="1">
      <c r="A33" s="106" t="s">
        <v>1263</v>
      </c>
      <c r="B33" s="17" t="s">
        <v>1419</v>
      </c>
      <c r="C33" s="13" t="s">
        <v>783</v>
      </c>
      <c r="D33" s="98" t="s">
        <v>1420</v>
      </c>
      <c r="E33" s="18">
        <v>5940</v>
      </c>
    </row>
    <row r="34" spans="1:5" ht="15.75" customHeight="1">
      <c r="A34" s="106" t="s">
        <v>1267</v>
      </c>
      <c r="B34" s="17" t="s">
        <v>1421</v>
      </c>
      <c r="C34" s="13" t="s">
        <v>1177</v>
      </c>
      <c r="D34" s="98">
        <v>259</v>
      </c>
      <c r="E34" s="18">
        <v>349200</v>
      </c>
    </row>
    <row r="35" spans="1:5" ht="15.75" customHeight="1">
      <c r="A35" s="106" t="s">
        <v>1270</v>
      </c>
      <c r="B35" s="17" t="s">
        <v>1422</v>
      </c>
      <c r="C35" s="13" t="s">
        <v>1177</v>
      </c>
      <c r="D35" s="98">
        <v>258</v>
      </c>
      <c r="E35" s="18">
        <v>328500</v>
      </c>
    </row>
    <row r="36" spans="1:5" ht="15.75" customHeight="1">
      <c r="A36" s="106" t="s">
        <v>1273</v>
      </c>
      <c r="B36" s="17" t="s">
        <v>1423</v>
      </c>
      <c r="C36" s="13" t="s">
        <v>1424</v>
      </c>
      <c r="D36" s="98" t="s">
        <v>1425</v>
      </c>
      <c r="E36" s="18">
        <v>138000</v>
      </c>
    </row>
    <row r="37" spans="1:5" ht="15.75" customHeight="1">
      <c r="A37" s="106" t="s">
        <v>1275</v>
      </c>
      <c r="B37" s="17" t="s">
        <v>1426</v>
      </c>
      <c r="C37" s="78" t="s">
        <v>403</v>
      </c>
      <c r="D37" s="98" t="s">
        <v>1427</v>
      </c>
      <c r="E37" s="18">
        <v>400</v>
      </c>
    </row>
    <row r="38" spans="1:5" ht="15.75" customHeight="1">
      <c r="A38" s="106" t="s">
        <v>1278</v>
      </c>
      <c r="B38" s="24" t="s">
        <v>1428</v>
      </c>
      <c r="C38" s="13" t="s">
        <v>783</v>
      </c>
      <c r="D38" s="78" t="s">
        <v>1429</v>
      </c>
      <c r="E38" s="14">
        <v>185900</v>
      </c>
    </row>
    <row r="39" spans="1:5" ht="15.75" customHeight="1">
      <c r="A39" s="106" t="s">
        <v>1281</v>
      </c>
      <c r="B39" s="24" t="s">
        <v>1430</v>
      </c>
      <c r="C39" s="78" t="s">
        <v>896</v>
      </c>
      <c r="D39" s="78">
        <v>542</v>
      </c>
      <c r="E39" s="14">
        <v>36000</v>
      </c>
    </row>
    <row r="40" spans="1:5" ht="15.75" customHeight="1">
      <c r="A40" s="106" t="s">
        <v>1284</v>
      </c>
      <c r="B40" s="17" t="s">
        <v>1431</v>
      </c>
      <c r="C40" s="13" t="s">
        <v>1432</v>
      </c>
      <c r="D40" s="78">
        <v>308</v>
      </c>
      <c r="E40" s="18">
        <v>7500</v>
      </c>
    </row>
    <row r="41" spans="1:5" ht="15.75" customHeight="1">
      <c r="A41" s="8" t="s">
        <v>24</v>
      </c>
      <c r="B41" s="203"/>
      <c r="C41" s="204"/>
      <c r="D41" s="205"/>
      <c r="E41" s="49">
        <f>SUM(E12:E40)</f>
        <v>2639451.64</v>
      </c>
    </row>
    <row r="42" spans="1:5" ht="15.75" customHeight="1">
      <c r="A42" s="198"/>
      <c r="B42" s="196"/>
      <c r="C42" s="196"/>
      <c r="D42" s="196"/>
      <c r="E42" s="196"/>
    </row>
    <row r="43" spans="1:5" ht="15.75" customHeight="1">
      <c r="A43" s="198" t="s">
        <v>1433</v>
      </c>
      <c r="B43" s="196"/>
      <c r="C43" s="196"/>
      <c r="D43" s="196"/>
      <c r="E43" s="27">
        <f>IF(E41&gt;=10000000,5000000*2%+5000000*1%+(E41-10000000)*0.5%,IF(E41&gt;=5000000,5000000*2%+(E41-5000000)*1%,E41*2%))</f>
        <v>52789.032800000001</v>
      </c>
    </row>
    <row r="44" spans="1:5" ht="14.25" customHeight="1">
      <c r="A44" s="198" t="s">
        <v>25</v>
      </c>
      <c r="B44" s="196"/>
      <c r="C44" s="196"/>
      <c r="D44" s="196"/>
      <c r="E44" s="196"/>
    </row>
    <row r="45" spans="1:5" ht="35.25" customHeight="1">
      <c r="A45" s="198"/>
      <c r="B45" s="196"/>
      <c r="C45" s="196"/>
      <c r="D45" s="196"/>
      <c r="E45" s="196"/>
    </row>
    <row r="46" spans="1:5" ht="15.75" customHeight="1">
      <c r="A46" s="198" t="s">
        <v>26</v>
      </c>
      <c r="B46" s="196"/>
      <c r="C46" s="196"/>
      <c r="D46" s="196"/>
      <c r="E46" s="196"/>
    </row>
    <row r="47" spans="1:5" ht="15.75" customHeight="1">
      <c r="A47" s="198" t="s">
        <v>27</v>
      </c>
      <c r="B47" s="196"/>
      <c r="C47" s="196"/>
      <c r="D47" s="196"/>
      <c r="E47" s="196"/>
    </row>
    <row r="48" spans="1:5" ht="15.75" customHeight="1">
      <c r="A48" s="198" t="s">
        <v>28</v>
      </c>
      <c r="B48" s="196"/>
      <c r="C48" s="196"/>
      <c r="D48" s="196"/>
      <c r="E48" s="196"/>
    </row>
  </sheetData>
  <mergeCells count="18">
    <mergeCell ref="A48:E48"/>
    <mergeCell ref="A8:E8"/>
    <mergeCell ref="A9:E9"/>
    <mergeCell ref="A10:E10"/>
    <mergeCell ref="B41:D41"/>
    <mergeCell ref="A42:E42"/>
    <mergeCell ref="A43:D43"/>
    <mergeCell ref="A44:E44"/>
    <mergeCell ref="A6:E6"/>
    <mergeCell ref="A7:E7"/>
    <mergeCell ref="A45:E45"/>
    <mergeCell ref="A46:E46"/>
    <mergeCell ref="A47:E47"/>
    <mergeCell ref="A1:E1"/>
    <mergeCell ref="A2:E2"/>
    <mergeCell ref="A3:E3"/>
    <mergeCell ref="A4:E4"/>
    <mergeCell ref="A5:E5"/>
  </mergeCells>
  <conditionalFormatting sqref="E12:E40">
    <cfRule type="notContainsBlanks" dxfId="57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  <pageSetUpPr fitToPage="1"/>
  </sheetPr>
  <dimension ref="A1:E35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1378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1434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06" t="s">
        <v>1209</v>
      </c>
      <c r="B12" s="17" t="s">
        <v>1380</v>
      </c>
      <c r="C12" s="78" t="s">
        <v>805</v>
      </c>
      <c r="D12" s="98">
        <v>365</v>
      </c>
      <c r="E12" s="18">
        <v>390000</v>
      </c>
    </row>
    <row r="13" spans="1:5" ht="15.75" customHeight="1">
      <c r="A13" s="106" t="s">
        <v>1215</v>
      </c>
      <c r="B13" s="24" t="s">
        <v>1382</v>
      </c>
      <c r="C13" s="42" t="s">
        <v>14</v>
      </c>
      <c r="D13" s="107" t="s">
        <v>1383</v>
      </c>
      <c r="E13" s="44">
        <v>22648.5</v>
      </c>
    </row>
    <row r="14" spans="1:5" ht="15.75" customHeight="1">
      <c r="A14" s="106" t="s">
        <v>1217</v>
      </c>
      <c r="B14" s="12" t="s">
        <v>1384</v>
      </c>
      <c r="C14" s="13" t="s">
        <v>1361</v>
      </c>
      <c r="D14" s="13" t="s">
        <v>1385</v>
      </c>
      <c r="E14" s="14">
        <v>20190</v>
      </c>
    </row>
    <row r="15" spans="1:5" ht="15.75" customHeight="1">
      <c r="A15" s="106" t="s">
        <v>1221</v>
      </c>
      <c r="B15" s="80" t="s">
        <v>1386</v>
      </c>
      <c r="C15" s="13" t="s">
        <v>1361</v>
      </c>
      <c r="D15" s="13" t="s">
        <v>1387</v>
      </c>
      <c r="E15" s="14">
        <v>34312</v>
      </c>
    </row>
    <row r="16" spans="1:5" ht="15.75" customHeight="1">
      <c r="A16" s="106" t="s">
        <v>1224</v>
      </c>
      <c r="B16" s="17" t="s">
        <v>1388</v>
      </c>
      <c r="C16" s="78" t="s">
        <v>665</v>
      </c>
      <c r="D16" s="13" t="s">
        <v>1389</v>
      </c>
      <c r="E16" s="18">
        <v>16800</v>
      </c>
    </row>
    <row r="17" spans="1:5" ht="15.75" customHeight="1">
      <c r="A17" s="106" t="s">
        <v>1228</v>
      </c>
      <c r="B17" s="109" t="s">
        <v>1392</v>
      </c>
      <c r="C17" s="42" t="s">
        <v>877</v>
      </c>
      <c r="D17" s="107">
        <v>467</v>
      </c>
      <c r="E17" s="44">
        <v>6000</v>
      </c>
    </row>
    <row r="18" spans="1:5" ht="15.75" customHeight="1">
      <c r="A18" s="106" t="s">
        <v>1230</v>
      </c>
      <c r="B18" s="24" t="s">
        <v>1393</v>
      </c>
      <c r="C18" s="13" t="s">
        <v>1203</v>
      </c>
      <c r="D18" s="78">
        <v>350</v>
      </c>
      <c r="E18" s="18">
        <v>425000</v>
      </c>
    </row>
    <row r="19" spans="1:5" ht="15.75" customHeight="1">
      <c r="A19" s="106" t="s">
        <v>1236</v>
      </c>
      <c r="B19" s="17" t="s">
        <v>1397</v>
      </c>
      <c r="C19" s="13" t="s">
        <v>1398</v>
      </c>
      <c r="D19" s="98" t="s">
        <v>1399</v>
      </c>
      <c r="E19" s="18">
        <v>247189.87</v>
      </c>
    </row>
    <row r="20" spans="1:5" ht="15.75" customHeight="1">
      <c r="A20" s="106" t="s">
        <v>1240</v>
      </c>
      <c r="B20" s="17" t="s">
        <v>1400</v>
      </c>
      <c r="C20" s="78" t="s">
        <v>665</v>
      </c>
      <c r="D20" s="98" t="s">
        <v>1401</v>
      </c>
      <c r="E20" s="18">
        <v>51400</v>
      </c>
    </row>
    <row r="21" spans="1:5" ht="15.75" customHeight="1">
      <c r="A21" s="106" t="s">
        <v>1242</v>
      </c>
      <c r="B21" s="92" t="s">
        <v>1402</v>
      </c>
      <c r="C21" s="78" t="s">
        <v>1203</v>
      </c>
      <c r="D21" s="98" t="s">
        <v>1403</v>
      </c>
      <c r="E21" s="18">
        <v>54100</v>
      </c>
    </row>
    <row r="22" spans="1:5" ht="15.75" customHeight="1">
      <c r="A22" s="106" t="s">
        <v>1245</v>
      </c>
      <c r="B22" s="17" t="s">
        <v>1404</v>
      </c>
      <c r="C22" s="13" t="s">
        <v>1405</v>
      </c>
      <c r="D22" s="98">
        <v>2</v>
      </c>
      <c r="E22" s="18">
        <v>17000</v>
      </c>
    </row>
    <row r="23" spans="1:5" ht="15.75" customHeight="1">
      <c r="A23" s="106" t="s">
        <v>1247</v>
      </c>
      <c r="B23" s="17" t="s">
        <v>1406</v>
      </c>
      <c r="C23" s="13" t="s">
        <v>1407</v>
      </c>
      <c r="D23" s="98" t="s">
        <v>1408</v>
      </c>
      <c r="E23" s="18">
        <v>15000</v>
      </c>
    </row>
    <row r="24" spans="1:5" ht="15.75" customHeight="1">
      <c r="A24" s="106" t="s">
        <v>1257</v>
      </c>
      <c r="B24" s="17" t="s">
        <v>1414</v>
      </c>
      <c r="C24" s="13" t="s">
        <v>1415</v>
      </c>
      <c r="D24" s="98" t="s">
        <v>1416</v>
      </c>
      <c r="E24" s="18">
        <v>9286.2000000000007</v>
      </c>
    </row>
    <row r="25" spans="1:5" ht="15.75" customHeight="1">
      <c r="A25" s="106" t="s">
        <v>1259</v>
      </c>
      <c r="B25" s="17" t="s">
        <v>1417</v>
      </c>
      <c r="C25" s="13" t="s">
        <v>757</v>
      </c>
      <c r="D25" s="98" t="s">
        <v>1418</v>
      </c>
      <c r="E25" s="18">
        <v>8903.57</v>
      </c>
    </row>
    <row r="26" spans="1:5" ht="15.75" customHeight="1">
      <c r="A26" s="106" t="s">
        <v>1267</v>
      </c>
      <c r="B26" s="17" t="s">
        <v>1421</v>
      </c>
      <c r="C26" s="13" t="s">
        <v>1177</v>
      </c>
      <c r="D26" s="98">
        <v>259</v>
      </c>
      <c r="E26" s="18">
        <v>349200</v>
      </c>
    </row>
    <row r="27" spans="1:5" ht="15.75" customHeight="1">
      <c r="A27" s="106" t="s">
        <v>1270</v>
      </c>
      <c r="B27" s="17" t="s">
        <v>1422</v>
      </c>
      <c r="C27" s="13" t="s">
        <v>1177</v>
      </c>
      <c r="D27" s="98">
        <v>258</v>
      </c>
      <c r="E27" s="18">
        <v>328500</v>
      </c>
    </row>
    <row r="28" spans="1:5" ht="15.75" customHeight="1">
      <c r="A28" s="8" t="s">
        <v>24</v>
      </c>
      <c r="B28" s="203"/>
      <c r="C28" s="204"/>
      <c r="D28" s="205"/>
      <c r="E28" s="49">
        <f>SUM(E12:E27)</f>
        <v>1995530.1400000001</v>
      </c>
    </row>
    <row r="29" spans="1:5" ht="15.75" customHeight="1">
      <c r="A29" s="198"/>
      <c r="B29" s="196"/>
      <c r="C29" s="196"/>
      <c r="D29" s="196"/>
      <c r="E29" s="196"/>
    </row>
    <row r="30" spans="1:5" ht="15.75" customHeight="1">
      <c r="A30" s="198" t="s">
        <v>1435</v>
      </c>
      <c r="B30" s="196"/>
      <c r="C30" s="196"/>
      <c r="D30" s="196"/>
      <c r="E30" s="27">
        <f>E28*8%</f>
        <v>159642.4112</v>
      </c>
    </row>
    <row r="31" spans="1:5" ht="14.25" customHeight="1">
      <c r="A31" s="198" t="s">
        <v>25</v>
      </c>
      <c r="B31" s="196"/>
      <c r="C31" s="196"/>
      <c r="D31" s="196"/>
      <c r="E31" s="196"/>
    </row>
    <row r="32" spans="1:5" ht="35.25" customHeight="1">
      <c r="A32" s="198"/>
      <c r="B32" s="196"/>
      <c r="C32" s="196"/>
      <c r="D32" s="196"/>
      <c r="E32" s="196"/>
    </row>
    <row r="33" spans="1:5" ht="15.75" customHeight="1">
      <c r="A33" s="198" t="s">
        <v>26</v>
      </c>
      <c r="B33" s="196"/>
      <c r="C33" s="196"/>
      <c r="D33" s="196"/>
      <c r="E33" s="196"/>
    </row>
    <row r="34" spans="1:5" ht="15.75" customHeight="1">
      <c r="A34" s="198" t="s">
        <v>27</v>
      </c>
      <c r="B34" s="196"/>
      <c r="C34" s="196"/>
      <c r="D34" s="196"/>
      <c r="E34" s="196"/>
    </row>
    <row r="35" spans="1:5" ht="15.75" customHeight="1">
      <c r="A35" s="198" t="s">
        <v>28</v>
      </c>
      <c r="B35" s="196"/>
      <c r="C35" s="196"/>
      <c r="D35" s="196"/>
      <c r="E35" s="196"/>
    </row>
  </sheetData>
  <mergeCells count="18">
    <mergeCell ref="A35:E35"/>
    <mergeCell ref="A8:E8"/>
    <mergeCell ref="A9:E9"/>
    <mergeCell ref="A10:E10"/>
    <mergeCell ref="B28:D28"/>
    <mergeCell ref="A29:E29"/>
    <mergeCell ref="A30:D30"/>
    <mergeCell ref="A31:E31"/>
    <mergeCell ref="A6:E6"/>
    <mergeCell ref="A7:E7"/>
    <mergeCell ref="A32:E32"/>
    <mergeCell ref="A33:E33"/>
    <mergeCell ref="A34:E34"/>
    <mergeCell ref="A1:E1"/>
    <mergeCell ref="A2:E2"/>
    <mergeCell ref="A3:E3"/>
    <mergeCell ref="A4:E4"/>
    <mergeCell ref="A5:E5"/>
  </mergeCells>
  <conditionalFormatting sqref="E12:E27">
    <cfRule type="notContainsBlanks" dxfId="56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  <pageSetUpPr fitToPage="1"/>
  </sheetPr>
  <dimension ref="A1:E42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615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1436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06" t="s">
        <v>1209</v>
      </c>
      <c r="B12" s="17" t="s">
        <v>1437</v>
      </c>
      <c r="C12" s="13" t="s">
        <v>1438</v>
      </c>
      <c r="D12" s="98">
        <v>224</v>
      </c>
      <c r="E12" s="18">
        <v>82992</v>
      </c>
    </row>
    <row r="13" spans="1:5" ht="15.75" customHeight="1">
      <c r="A13" s="106" t="s">
        <v>1212</v>
      </c>
      <c r="B13" s="17" t="s">
        <v>1439</v>
      </c>
      <c r="C13" s="78" t="s">
        <v>1356</v>
      </c>
      <c r="D13" s="78">
        <v>1772</v>
      </c>
      <c r="E13" s="18">
        <v>36860</v>
      </c>
    </row>
    <row r="14" spans="1:5" ht="15.75" customHeight="1">
      <c r="A14" s="106" t="s">
        <v>1215</v>
      </c>
      <c r="B14" s="17" t="s">
        <v>1440</v>
      </c>
      <c r="C14" s="78" t="s">
        <v>1321</v>
      </c>
      <c r="D14" s="78">
        <v>3716</v>
      </c>
      <c r="E14" s="18">
        <v>21200</v>
      </c>
    </row>
    <row r="15" spans="1:5" ht="15.75" customHeight="1">
      <c r="A15" s="106" t="s">
        <v>1217</v>
      </c>
      <c r="B15" s="17" t="s">
        <v>1441</v>
      </c>
      <c r="C15" s="13" t="s">
        <v>665</v>
      </c>
      <c r="D15" s="78" t="s">
        <v>1442</v>
      </c>
      <c r="E15" s="18">
        <v>119450</v>
      </c>
    </row>
    <row r="16" spans="1:5" ht="15.75" customHeight="1">
      <c r="A16" s="106" t="s">
        <v>1221</v>
      </c>
      <c r="B16" s="17" t="s">
        <v>1443</v>
      </c>
      <c r="C16" s="78" t="s">
        <v>1444</v>
      </c>
      <c r="D16" s="78" t="s">
        <v>1445</v>
      </c>
      <c r="E16" s="18">
        <v>31063</v>
      </c>
    </row>
    <row r="17" spans="1:5" ht="15.75" customHeight="1">
      <c r="A17" s="106" t="s">
        <v>1224</v>
      </c>
      <c r="B17" s="17" t="s">
        <v>1446</v>
      </c>
      <c r="C17" s="13" t="s">
        <v>1447</v>
      </c>
      <c r="D17" s="98">
        <v>135761675</v>
      </c>
      <c r="E17" s="18">
        <v>20040</v>
      </c>
    </row>
    <row r="18" spans="1:5" ht="15.75" customHeight="1">
      <c r="A18" s="106" t="s">
        <v>1226</v>
      </c>
      <c r="B18" s="17" t="s">
        <v>1448</v>
      </c>
      <c r="C18" s="13" t="s">
        <v>1203</v>
      </c>
      <c r="D18" s="78" t="s">
        <v>1449</v>
      </c>
      <c r="E18" s="18">
        <v>250676</v>
      </c>
    </row>
    <row r="19" spans="1:5" ht="15.75" customHeight="1">
      <c r="A19" s="106" t="s">
        <v>1228</v>
      </c>
      <c r="B19" s="24" t="s">
        <v>1450</v>
      </c>
      <c r="C19" s="42" t="s">
        <v>1451</v>
      </c>
      <c r="D19" s="107">
        <v>403</v>
      </c>
      <c r="E19" s="44">
        <v>9000</v>
      </c>
    </row>
    <row r="20" spans="1:5" ht="15.75" customHeight="1">
      <c r="A20" s="106" t="s">
        <v>1230</v>
      </c>
      <c r="B20" s="12" t="s">
        <v>1452</v>
      </c>
      <c r="C20" s="13" t="s">
        <v>828</v>
      </c>
      <c r="D20" s="13" t="s">
        <v>1453</v>
      </c>
      <c r="E20" s="14">
        <v>12900</v>
      </c>
    </row>
    <row r="21" spans="1:5" ht="15.75" customHeight="1">
      <c r="A21" s="106" t="s">
        <v>1232</v>
      </c>
      <c r="B21" s="80" t="s">
        <v>1454</v>
      </c>
      <c r="C21" s="13" t="s">
        <v>1321</v>
      </c>
      <c r="D21" s="13">
        <v>4100</v>
      </c>
      <c r="E21" s="14">
        <v>279411.21000000002</v>
      </c>
    </row>
    <row r="22" spans="1:5" ht="15.75" customHeight="1">
      <c r="A22" s="106" t="s">
        <v>1234</v>
      </c>
      <c r="B22" s="17" t="s">
        <v>1455</v>
      </c>
      <c r="C22" s="13" t="s">
        <v>828</v>
      </c>
      <c r="D22" s="13" t="s">
        <v>1456</v>
      </c>
      <c r="E22" s="18">
        <v>547520</v>
      </c>
    </row>
    <row r="23" spans="1:5" ht="15.75" customHeight="1">
      <c r="A23" s="106" t="s">
        <v>1236</v>
      </c>
      <c r="B23" s="17" t="s">
        <v>1457</v>
      </c>
      <c r="C23" s="13" t="s">
        <v>1458</v>
      </c>
      <c r="D23" s="13">
        <v>1430</v>
      </c>
      <c r="E23" s="18">
        <v>272400</v>
      </c>
    </row>
    <row r="24" spans="1:5" ht="15.75" customHeight="1">
      <c r="A24" s="106" t="s">
        <v>1240</v>
      </c>
      <c r="B24" s="24" t="s">
        <v>1459</v>
      </c>
      <c r="C24" s="78" t="s">
        <v>1447</v>
      </c>
      <c r="D24" s="78">
        <v>136575286</v>
      </c>
      <c r="E24" s="18">
        <v>24000</v>
      </c>
    </row>
    <row r="25" spans="1:5" ht="15.75" customHeight="1">
      <c r="A25" s="106" t="s">
        <v>1242</v>
      </c>
      <c r="B25" s="24" t="s">
        <v>1460</v>
      </c>
      <c r="C25" s="13" t="s">
        <v>71</v>
      </c>
      <c r="D25" s="78">
        <v>7428506</v>
      </c>
      <c r="E25" s="18">
        <v>11900</v>
      </c>
    </row>
    <row r="26" spans="1:5" ht="15.75" customHeight="1">
      <c r="A26" s="106" t="s">
        <v>1245</v>
      </c>
      <c r="B26" s="24" t="s">
        <v>1461</v>
      </c>
      <c r="C26" s="13" t="s">
        <v>828</v>
      </c>
      <c r="D26" s="98" t="s">
        <v>1462</v>
      </c>
      <c r="E26" s="14">
        <v>69000</v>
      </c>
    </row>
    <row r="27" spans="1:5" ht="15.75" customHeight="1">
      <c r="A27" s="106" t="s">
        <v>1247</v>
      </c>
      <c r="B27" s="17" t="s">
        <v>1463</v>
      </c>
      <c r="C27" s="13" t="s">
        <v>828</v>
      </c>
      <c r="D27" s="98" t="s">
        <v>1464</v>
      </c>
      <c r="E27" s="18">
        <v>48200</v>
      </c>
    </row>
    <row r="28" spans="1:5" ht="15.75" customHeight="1">
      <c r="A28" s="106" t="s">
        <v>1249</v>
      </c>
      <c r="B28" s="17" t="s">
        <v>1465</v>
      </c>
      <c r="C28" s="13" t="s">
        <v>346</v>
      </c>
      <c r="D28" s="98">
        <v>1285</v>
      </c>
      <c r="E28" s="18">
        <v>43750</v>
      </c>
    </row>
    <row r="29" spans="1:5" ht="15.75" customHeight="1">
      <c r="A29" s="106" t="s">
        <v>1252</v>
      </c>
      <c r="B29" s="17" t="s">
        <v>1466</v>
      </c>
      <c r="C29" s="78" t="s">
        <v>1467</v>
      </c>
      <c r="D29" s="98">
        <v>91</v>
      </c>
      <c r="E29" s="18">
        <v>18100</v>
      </c>
    </row>
    <row r="30" spans="1:5" ht="15.75" customHeight="1">
      <c r="A30" s="106" t="s">
        <v>1255</v>
      </c>
      <c r="B30" s="17" t="s">
        <v>1468</v>
      </c>
      <c r="C30" s="13" t="s">
        <v>1336</v>
      </c>
      <c r="D30" s="98">
        <v>874</v>
      </c>
      <c r="E30" s="18">
        <v>69258</v>
      </c>
    </row>
    <row r="31" spans="1:5" ht="15.75" customHeight="1">
      <c r="A31" s="106" t="s">
        <v>1259</v>
      </c>
      <c r="B31" s="17" t="s">
        <v>1469</v>
      </c>
      <c r="C31" s="13" t="s">
        <v>81</v>
      </c>
      <c r="D31" s="98" t="s">
        <v>1470</v>
      </c>
      <c r="E31" s="18">
        <v>25180</v>
      </c>
    </row>
    <row r="32" spans="1:5" ht="15.75" customHeight="1">
      <c r="A32" s="106" t="s">
        <v>1263</v>
      </c>
      <c r="B32" s="17" t="s">
        <v>1471</v>
      </c>
      <c r="C32" s="78" t="s">
        <v>1472</v>
      </c>
      <c r="D32" s="98">
        <v>2209</v>
      </c>
      <c r="E32" s="18">
        <v>6982.5</v>
      </c>
    </row>
    <row r="33" spans="1:5" ht="15.75" customHeight="1">
      <c r="A33" s="106" t="s">
        <v>1267</v>
      </c>
      <c r="B33" s="17" t="s">
        <v>1473</v>
      </c>
      <c r="C33" s="13" t="s">
        <v>81</v>
      </c>
      <c r="D33" s="98" t="s">
        <v>1474</v>
      </c>
      <c r="E33" s="18">
        <v>18300</v>
      </c>
    </row>
    <row r="34" spans="1:5" ht="15.75" customHeight="1">
      <c r="A34" s="106" t="s">
        <v>1270</v>
      </c>
      <c r="B34" s="24" t="s">
        <v>1475</v>
      </c>
      <c r="C34" s="78" t="s">
        <v>737</v>
      </c>
      <c r="D34" s="78">
        <v>110</v>
      </c>
      <c r="E34" s="18">
        <v>82800</v>
      </c>
    </row>
    <row r="35" spans="1:5" ht="15.75" customHeight="1">
      <c r="A35" s="8" t="s">
        <v>24</v>
      </c>
      <c r="B35" s="203"/>
      <c r="C35" s="204"/>
      <c r="D35" s="205"/>
      <c r="E35" s="49">
        <f>SUM(E12:E34)</f>
        <v>2100982.71</v>
      </c>
    </row>
    <row r="36" spans="1:5" ht="15.75" customHeight="1">
      <c r="A36" s="198"/>
      <c r="B36" s="196"/>
      <c r="C36" s="196"/>
      <c r="D36" s="196"/>
      <c r="E36" s="196"/>
    </row>
    <row r="37" spans="1:5" ht="15.75" customHeight="1">
      <c r="A37" s="198" t="s">
        <v>1476</v>
      </c>
      <c r="B37" s="196"/>
      <c r="C37" s="196"/>
      <c r="D37" s="196"/>
      <c r="E37" s="27">
        <f>IF(E35&gt;=10000000,5000000*2%+5000000*1%+(E35-10000000)*0.5%,IF(E35&gt;=5000000,5000000*2%+(E35-5000000)*1%,E35*2%))</f>
        <v>42019.654199999997</v>
      </c>
    </row>
    <row r="38" spans="1:5" ht="14.25" customHeight="1">
      <c r="A38" s="198" t="s">
        <v>25</v>
      </c>
      <c r="B38" s="196"/>
      <c r="C38" s="196"/>
      <c r="D38" s="196"/>
      <c r="E38" s="196"/>
    </row>
    <row r="39" spans="1:5" ht="35.25" customHeight="1">
      <c r="A39" s="198"/>
      <c r="B39" s="196"/>
      <c r="C39" s="196"/>
      <c r="D39" s="196"/>
      <c r="E39" s="196"/>
    </row>
    <row r="40" spans="1:5" ht="15.75" customHeight="1">
      <c r="A40" s="198" t="s">
        <v>26</v>
      </c>
      <c r="B40" s="196"/>
      <c r="C40" s="196"/>
      <c r="D40" s="196"/>
      <c r="E40" s="196"/>
    </row>
    <row r="41" spans="1:5" ht="15.75" customHeight="1">
      <c r="A41" s="198" t="s">
        <v>27</v>
      </c>
      <c r="B41" s="196"/>
      <c r="C41" s="196"/>
      <c r="D41" s="196"/>
      <c r="E41" s="196"/>
    </row>
    <row r="42" spans="1:5" ht="15.75" customHeight="1">
      <c r="A42" s="198" t="s">
        <v>28</v>
      </c>
      <c r="B42" s="196"/>
      <c r="C42" s="196"/>
      <c r="D42" s="196"/>
      <c r="E42" s="196"/>
    </row>
  </sheetData>
  <mergeCells count="18">
    <mergeCell ref="A42:E42"/>
    <mergeCell ref="A8:E8"/>
    <mergeCell ref="A9:E9"/>
    <mergeCell ref="A10:E10"/>
    <mergeCell ref="B35:D35"/>
    <mergeCell ref="A36:E36"/>
    <mergeCell ref="A37:D37"/>
    <mergeCell ref="A38:E38"/>
    <mergeCell ref="A6:E6"/>
    <mergeCell ref="A7:E7"/>
    <mergeCell ref="A39:E39"/>
    <mergeCell ref="A40:E40"/>
    <mergeCell ref="A41:E41"/>
    <mergeCell ref="A1:E1"/>
    <mergeCell ref="A2:E2"/>
    <mergeCell ref="A3:E3"/>
    <mergeCell ref="A4:E4"/>
    <mergeCell ref="A5:E5"/>
  </mergeCells>
  <conditionalFormatting sqref="E12:E34">
    <cfRule type="notContainsBlanks" dxfId="55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  <pageSetUpPr fitToPage="1"/>
  </sheetPr>
  <dimension ref="A1:E38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615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1477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06" t="s">
        <v>1209</v>
      </c>
      <c r="B12" s="17" t="s">
        <v>1437</v>
      </c>
      <c r="C12" s="13" t="s">
        <v>1438</v>
      </c>
      <c r="D12" s="98">
        <v>224</v>
      </c>
      <c r="E12" s="18">
        <v>79005.100000000006</v>
      </c>
    </row>
    <row r="13" spans="1:5" ht="15.75" customHeight="1">
      <c r="A13" s="106" t="s">
        <v>1212</v>
      </c>
      <c r="B13" s="17" t="s">
        <v>1439</v>
      </c>
      <c r="C13" s="78" t="s">
        <v>1356</v>
      </c>
      <c r="D13" s="78">
        <v>1772</v>
      </c>
      <c r="E13" s="18">
        <v>36860</v>
      </c>
    </row>
    <row r="14" spans="1:5" ht="15.75" customHeight="1">
      <c r="A14" s="106" t="s">
        <v>1215</v>
      </c>
      <c r="B14" s="17" t="s">
        <v>1440</v>
      </c>
      <c r="C14" s="78" t="s">
        <v>1321</v>
      </c>
      <c r="D14" s="78">
        <v>3716</v>
      </c>
      <c r="E14" s="18">
        <v>21200</v>
      </c>
    </row>
    <row r="15" spans="1:5" ht="15.75" customHeight="1">
      <c r="A15" s="106" t="s">
        <v>1217</v>
      </c>
      <c r="B15" s="17" t="s">
        <v>1443</v>
      </c>
      <c r="C15" s="78" t="s">
        <v>1444</v>
      </c>
      <c r="D15" s="78" t="s">
        <v>1445</v>
      </c>
      <c r="E15" s="18">
        <v>31063</v>
      </c>
    </row>
    <row r="16" spans="1:5" ht="15.75" customHeight="1">
      <c r="A16" s="106" t="s">
        <v>1221</v>
      </c>
      <c r="B16" s="17" t="s">
        <v>1446</v>
      </c>
      <c r="C16" s="13" t="s">
        <v>1447</v>
      </c>
      <c r="D16" s="98">
        <v>135761675</v>
      </c>
      <c r="E16" s="18">
        <v>20040</v>
      </c>
    </row>
    <row r="17" spans="1:5" ht="15.75" customHeight="1">
      <c r="A17" s="106" t="s">
        <v>1224</v>
      </c>
      <c r="B17" s="17" t="s">
        <v>1448</v>
      </c>
      <c r="C17" s="13" t="s">
        <v>1203</v>
      </c>
      <c r="D17" s="78" t="s">
        <v>1449</v>
      </c>
      <c r="E17" s="18">
        <v>250676</v>
      </c>
    </row>
    <row r="18" spans="1:5" ht="15.75" customHeight="1">
      <c r="A18" s="106" t="s">
        <v>1226</v>
      </c>
      <c r="B18" s="24" t="s">
        <v>1450</v>
      </c>
      <c r="C18" s="42" t="s">
        <v>1451</v>
      </c>
      <c r="D18" s="107">
        <v>403</v>
      </c>
      <c r="E18" s="44">
        <v>9000</v>
      </c>
    </row>
    <row r="19" spans="1:5" ht="15.75" customHeight="1">
      <c r="A19" s="106" t="s">
        <v>1228</v>
      </c>
      <c r="B19" s="12" t="s">
        <v>1452</v>
      </c>
      <c r="C19" s="13" t="s">
        <v>828</v>
      </c>
      <c r="D19" s="13" t="s">
        <v>1453</v>
      </c>
      <c r="E19" s="14">
        <v>12900</v>
      </c>
    </row>
    <row r="20" spans="1:5" ht="15.75" customHeight="1">
      <c r="A20" s="106" t="s">
        <v>1230</v>
      </c>
      <c r="B20" s="17" t="s">
        <v>1457</v>
      </c>
      <c r="C20" s="13" t="s">
        <v>1458</v>
      </c>
      <c r="D20" s="13">
        <v>1430</v>
      </c>
      <c r="E20" s="18">
        <v>272400</v>
      </c>
    </row>
    <row r="21" spans="1:5" ht="15.75" customHeight="1">
      <c r="A21" s="106" t="s">
        <v>1232</v>
      </c>
      <c r="B21" s="24" t="s">
        <v>1459</v>
      </c>
      <c r="C21" s="78" t="s">
        <v>1447</v>
      </c>
      <c r="D21" s="78">
        <v>136575286</v>
      </c>
      <c r="E21" s="18">
        <v>24000</v>
      </c>
    </row>
    <row r="22" spans="1:5" ht="15.75" customHeight="1">
      <c r="A22" s="106" t="s">
        <v>1234</v>
      </c>
      <c r="B22" s="24" t="s">
        <v>1460</v>
      </c>
      <c r="C22" s="13" t="s">
        <v>71</v>
      </c>
      <c r="D22" s="78">
        <v>7428506</v>
      </c>
      <c r="E22" s="18">
        <v>11900</v>
      </c>
    </row>
    <row r="23" spans="1:5" ht="15.75" customHeight="1">
      <c r="A23" s="106" t="s">
        <v>1236</v>
      </c>
      <c r="B23" s="24" t="s">
        <v>1461</v>
      </c>
      <c r="C23" s="13" t="s">
        <v>828</v>
      </c>
      <c r="D23" s="98" t="s">
        <v>1462</v>
      </c>
      <c r="E23" s="14">
        <v>69000</v>
      </c>
    </row>
    <row r="24" spans="1:5" ht="15.75" customHeight="1">
      <c r="A24" s="106" t="s">
        <v>1240</v>
      </c>
      <c r="B24" s="17" t="s">
        <v>1465</v>
      </c>
      <c r="C24" s="13" t="s">
        <v>346</v>
      </c>
      <c r="D24" s="98">
        <v>1285</v>
      </c>
      <c r="E24" s="18">
        <v>43750</v>
      </c>
    </row>
    <row r="25" spans="1:5" ht="15.75" customHeight="1">
      <c r="A25" s="106" t="s">
        <v>1242</v>
      </c>
      <c r="B25" s="17" t="s">
        <v>1466</v>
      </c>
      <c r="C25" s="78" t="s">
        <v>1467</v>
      </c>
      <c r="D25" s="98">
        <v>91</v>
      </c>
      <c r="E25" s="18">
        <v>18100</v>
      </c>
    </row>
    <row r="26" spans="1:5" ht="15.75" customHeight="1">
      <c r="A26" s="106" t="s">
        <v>1245</v>
      </c>
      <c r="B26" s="17" t="s">
        <v>1468</v>
      </c>
      <c r="C26" s="13" t="s">
        <v>1336</v>
      </c>
      <c r="D26" s="98">
        <v>874</v>
      </c>
      <c r="E26" s="18">
        <v>69258</v>
      </c>
    </row>
    <row r="27" spans="1:5" ht="15.75" customHeight="1">
      <c r="A27" s="106" t="s">
        <v>1247</v>
      </c>
      <c r="B27" s="17" t="s">
        <v>1469</v>
      </c>
      <c r="C27" s="13" t="s">
        <v>81</v>
      </c>
      <c r="D27" s="98" t="s">
        <v>1470</v>
      </c>
      <c r="E27" s="18">
        <v>25180</v>
      </c>
    </row>
    <row r="28" spans="1:5" ht="15.75" customHeight="1">
      <c r="A28" s="106" t="s">
        <v>1249</v>
      </c>
      <c r="B28" s="17" t="s">
        <v>1471</v>
      </c>
      <c r="C28" s="78" t="s">
        <v>1472</v>
      </c>
      <c r="D28" s="98">
        <v>2209</v>
      </c>
      <c r="E28" s="18">
        <v>6982.5</v>
      </c>
    </row>
    <row r="29" spans="1:5" ht="15.75" customHeight="1">
      <c r="A29" s="106" t="s">
        <v>1252</v>
      </c>
      <c r="B29" s="17" t="s">
        <v>1473</v>
      </c>
      <c r="C29" s="13" t="s">
        <v>81</v>
      </c>
      <c r="D29" s="98" t="s">
        <v>1474</v>
      </c>
      <c r="E29" s="18">
        <v>18300</v>
      </c>
    </row>
    <row r="30" spans="1:5" ht="15.75" customHeight="1">
      <c r="A30" s="106" t="s">
        <v>1255</v>
      </c>
      <c r="B30" s="24" t="s">
        <v>1475</v>
      </c>
      <c r="C30" s="78" t="s">
        <v>737</v>
      </c>
      <c r="D30" s="78">
        <v>110</v>
      </c>
      <c r="E30" s="18">
        <v>82800</v>
      </c>
    </row>
    <row r="31" spans="1:5" ht="15.75" customHeight="1">
      <c r="A31" s="8" t="s">
        <v>24</v>
      </c>
      <c r="B31" s="203"/>
      <c r="C31" s="204"/>
      <c r="D31" s="205"/>
      <c r="E31" s="49">
        <f>SUM(E12:E30)</f>
        <v>1102414.6000000001</v>
      </c>
    </row>
    <row r="32" spans="1:5" ht="15.75" customHeight="1">
      <c r="A32" s="198"/>
      <c r="B32" s="196"/>
      <c r="C32" s="196"/>
      <c r="D32" s="196"/>
      <c r="E32" s="196"/>
    </row>
    <row r="33" spans="1:5" ht="15.75" customHeight="1">
      <c r="A33" s="198" t="s">
        <v>1478</v>
      </c>
      <c r="B33" s="196"/>
      <c r="C33" s="196"/>
      <c r="D33" s="196"/>
      <c r="E33" s="27">
        <f>E31*8%</f>
        <v>88193.168000000005</v>
      </c>
    </row>
    <row r="34" spans="1:5" ht="14.25" customHeight="1">
      <c r="A34" s="198" t="s">
        <v>25</v>
      </c>
      <c r="B34" s="196"/>
      <c r="C34" s="196"/>
      <c r="D34" s="196"/>
      <c r="E34" s="196"/>
    </row>
    <row r="35" spans="1:5" ht="35.25" customHeight="1">
      <c r="A35" s="198"/>
      <c r="B35" s="196"/>
      <c r="C35" s="196"/>
      <c r="D35" s="196"/>
      <c r="E35" s="196"/>
    </row>
    <row r="36" spans="1:5" ht="15.75" customHeight="1">
      <c r="A36" s="198" t="s">
        <v>26</v>
      </c>
      <c r="B36" s="196"/>
      <c r="C36" s="196"/>
      <c r="D36" s="196"/>
      <c r="E36" s="196"/>
    </row>
    <row r="37" spans="1:5" ht="15.75" customHeight="1">
      <c r="A37" s="198" t="s">
        <v>27</v>
      </c>
      <c r="B37" s="196"/>
      <c r="C37" s="196"/>
      <c r="D37" s="196"/>
      <c r="E37" s="196"/>
    </row>
    <row r="38" spans="1:5" ht="15.75" customHeight="1">
      <c r="A38" s="198" t="s">
        <v>28</v>
      </c>
      <c r="B38" s="196"/>
      <c r="C38" s="196"/>
      <c r="D38" s="196"/>
      <c r="E38" s="196"/>
    </row>
  </sheetData>
  <mergeCells count="18">
    <mergeCell ref="A38:E38"/>
    <mergeCell ref="A8:E8"/>
    <mergeCell ref="A9:E9"/>
    <mergeCell ref="A10:E10"/>
    <mergeCell ref="B31:D31"/>
    <mergeCell ref="A32:E32"/>
    <mergeCell ref="A33:D33"/>
    <mergeCell ref="A34:E34"/>
    <mergeCell ref="A6:E6"/>
    <mergeCell ref="A7:E7"/>
    <mergeCell ref="A35:E35"/>
    <mergeCell ref="A36:E36"/>
    <mergeCell ref="A37:E37"/>
    <mergeCell ref="A1:E1"/>
    <mergeCell ref="A2:E2"/>
    <mergeCell ref="A3:E3"/>
    <mergeCell ref="A4:E4"/>
    <mergeCell ref="A5:E5"/>
  </mergeCells>
  <conditionalFormatting sqref="E12:E30">
    <cfRule type="notContainsBlanks" dxfId="54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  <pageSetUpPr fitToPage="1"/>
  </sheetPr>
  <dimension ref="A1:E52"/>
  <sheetViews>
    <sheetView workbookViewId="0"/>
  </sheetViews>
  <sheetFormatPr baseColWidth="10" defaultColWidth="12.6640625" defaultRowHeight="15" customHeight="1"/>
  <cols>
    <col min="1" max="1" width="6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615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1479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06" t="s">
        <v>1209</v>
      </c>
      <c r="B12" s="110" t="s">
        <v>1480</v>
      </c>
      <c r="C12" s="111" t="s">
        <v>1481</v>
      </c>
      <c r="D12" s="111" t="s">
        <v>1482</v>
      </c>
      <c r="E12" s="18">
        <v>106188</v>
      </c>
    </row>
    <row r="13" spans="1:5" ht="15.75" customHeight="1">
      <c r="A13" s="106" t="s">
        <v>1212</v>
      </c>
      <c r="B13" s="112" t="s">
        <v>1483</v>
      </c>
      <c r="C13" s="113" t="s">
        <v>1481</v>
      </c>
      <c r="D13" s="113" t="s">
        <v>1484</v>
      </c>
      <c r="E13" s="18">
        <v>189450</v>
      </c>
    </row>
    <row r="14" spans="1:5" ht="15.75" customHeight="1">
      <c r="A14" s="106" t="s">
        <v>1215</v>
      </c>
      <c r="B14" s="24" t="s">
        <v>1485</v>
      </c>
      <c r="C14" s="42" t="s">
        <v>1398</v>
      </c>
      <c r="D14" s="107" t="s">
        <v>1486</v>
      </c>
      <c r="E14" s="44">
        <v>32197.31</v>
      </c>
    </row>
    <row r="15" spans="1:5" ht="15.75" customHeight="1">
      <c r="A15" s="106" t="s">
        <v>1217</v>
      </c>
      <c r="B15" s="12" t="s">
        <v>1487</v>
      </c>
      <c r="C15" s="13" t="s">
        <v>378</v>
      </c>
      <c r="D15" s="114">
        <v>440849</v>
      </c>
      <c r="E15" s="14">
        <v>15384.62</v>
      </c>
    </row>
    <row r="16" spans="1:5" ht="15.75" customHeight="1">
      <c r="A16" s="106" t="s">
        <v>1221</v>
      </c>
      <c r="B16" s="80" t="s">
        <v>1488</v>
      </c>
      <c r="C16" s="13" t="s">
        <v>910</v>
      </c>
      <c r="D16" s="13" t="s">
        <v>1489</v>
      </c>
      <c r="E16" s="14">
        <v>59118</v>
      </c>
    </row>
    <row r="17" spans="1:5" ht="15.75" customHeight="1">
      <c r="A17" s="106" t="s">
        <v>1224</v>
      </c>
      <c r="B17" s="17" t="s">
        <v>1490</v>
      </c>
      <c r="C17" s="98" t="s">
        <v>1491</v>
      </c>
      <c r="D17" s="98">
        <v>6</v>
      </c>
      <c r="E17" s="18">
        <v>288000</v>
      </c>
    </row>
    <row r="18" spans="1:5" ht="15.75" customHeight="1">
      <c r="A18" s="106" t="s">
        <v>1226</v>
      </c>
      <c r="B18" s="24" t="s">
        <v>1492</v>
      </c>
      <c r="C18" s="78" t="s">
        <v>1493</v>
      </c>
      <c r="D18" s="78" t="s">
        <v>1494</v>
      </c>
      <c r="E18" s="18">
        <v>135000</v>
      </c>
    </row>
    <row r="19" spans="1:5" ht="15.75" customHeight="1">
      <c r="A19" s="106" t="s">
        <v>1228</v>
      </c>
      <c r="B19" s="12" t="s">
        <v>1495</v>
      </c>
      <c r="C19" s="13" t="s">
        <v>472</v>
      </c>
      <c r="D19" s="13">
        <v>6180</v>
      </c>
      <c r="E19" s="14">
        <v>5800</v>
      </c>
    </row>
    <row r="20" spans="1:5" ht="15.75" customHeight="1">
      <c r="A20" s="106" t="s">
        <v>1230</v>
      </c>
      <c r="B20" s="24" t="s">
        <v>1496</v>
      </c>
      <c r="C20" s="13" t="s">
        <v>56</v>
      </c>
      <c r="D20" s="78">
        <v>301</v>
      </c>
      <c r="E20" s="18">
        <v>32981</v>
      </c>
    </row>
    <row r="21" spans="1:5" ht="15.75" customHeight="1">
      <c r="A21" s="106" t="s">
        <v>1232</v>
      </c>
      <c r="B21" s="24" t="s">
        <v>1497</v>
      </c>
      <c r="C21" s="13" t="s">
        <v>1498</v>
      </c>
      <c r="D21" s="98" t="s">
        <v>1499</v>
      </c>
      <c r="E21" s="14">
        <v>29623.19</v>
      </c>
    </row>
    <row r="22" spans="1:5" ht="15.75" customHeight="1">
      <c r="A22" s="106" t="s">
        <v>1234</v>
      </c>
      <c r="B22" s="17" t="s">
        <v>1500</v>
      </c>
      <c r="C22" s="13" t="s">
        <v>848</v>
      </c>
      <c r="D22" s="98">
        <v>139492918</v>
      </c>
      <c r="E22" s="18">
        <v>13988.8</v>
      </c>
    </row>
    <row r="23" spans="1:5" ht="15.75" customHeight="1">
      <c r="A23" s="106" t="s">
        <v>1236</v>
      </c>
      <c r="B23" s="17" t="s">
        <v>1501</v>
      </c>
      <c r="C23" s="13" t="s">
        <v>877</v>
      </c>
      <c r="D23" s="98">
        <v>771</v>
      </c>
      <c r="E23" s="18">
        <v>11850</v>
      </c>
    </row>
    <row r="24" spans="1:5" ht="15.75" customHeight="1">
      <c r="A24" s="106" t="s">
        <v>1240</v>
      </c>
      <c r="B24" s="17" t="s">
        <v>1502</v>
      </c>
      <c r="C24" s="78" t="s">
        <v>1503</v>
      </c>
      <c r="D24" s="98">
        <v>91865</v>
      </c>
      <c r="E24" s="18">
        <v>88110</v>
      </c>
    </row>
    <row r="25" spans="1:5" ht="15.75" customHeight="1">
      <c r="A25" s="106" t="s">
        <v>1242</v>
      </c>
      <c r="B25" s="92" t="s">
        <v>1504</v>
      </c>
      <c r="C25" s="13" t="s">
        <v>1498</v>
      </c>
      <c r="D25" s="98" t="s">
        <v>1505</v>
      </c>
      <c r="E25" s="18">
        <v>3978.62</v>
      </c>
    </row>
    <row r="26" spans="1:5" ht="15.75" customHeight="1">
      <c r="A26" s="106" t="s">
        <v>1245</v>
      </c>
      <c r="B26" s="17" t="s">
        <v>1506</v>
      </c>
      <c r="C26" s="13" t="s">
        <v>1498</v>
      </c>
      <c r="D26" s="98" t="s">
        <v>1507</v>
      </c>
      <c r="E26" s="18">
        <v>4212</v>
      </c>
    </row>
    <row r="27" spans="1:5" ht="15.75" customHeight="1">
      <c r="A27" s="106" t="s">
        <v>1247</v>
      </c>
      <c r="B27" s="17" t="s">
        <v>1508</v>
      </c>
      <c r="C27" s="78" t="s">
        <v>1493</v>
      </c>
      <c r="D27" s="98" t="s">
        <v>1509</v>
      </c>
      <c r="E27" s="18">
        <v>38960</v>
      </c>
    </row>
    <row r="28" spans="1:5" ht="15.75" customHeight="1">
      <c r="A28" s="106" t="s">
        <v>1249</v>
      </c>
      <c r="B28" s="17" t="s">
        <v>789</v>
      </c>
      <c r="C28" s="13" t="s">
        <v>15</v>
      </c>
      <c r="D28" s="98" t="s">
        <v>1510</v>
      </c>
      <c r="E28" s="18">
        <v>32009.86</v>
      </c>
    </row>
    <row r="29" spans="1:5" ht="15.75" customHeight="1">
      <c r="A29" s="106" t="s">
        <v>1252</v>
      </c>
      <c r="B29" s="17" t="s">
        <v>1511</v>
      </c>
      <c r="C29" s="78" t="s">
        <v>1512</v>
      </c>
      <c r="D29" s="98">
        <v>1462</v>
      </c>
      <c r="E29" s="18">
        <v>21750</v>
      </c>
    </row>
    <row r="30" spans="1:5" ht="15.75" customHeight="1">
      <c r="A30" s="106" t="s">
        <v>1255</v>
      </c>
      <c r="B30" s="17" t="s">
        <v>1513</v>
      </c>
      <c r="C30" s="78" t="s">
        <v>1514</v>
      </c>
      <c r="D30" s="98" t="s">
        <v>1515</v>
      </c>
      <c r="E30" s="18">
        <v>21900</v>
      </c>
    </row>
    <row r="31" spans="1:5" ht="15.75" customHeight="1">
      <c r="A31" s="106" t="s">
        <v>1259</v>
      </c>
      <c r="B31" s="17" t="s">
        <v>1516</v>
      </c>
      <c r="C31" s="13" t="s">
        <v>472</v>
      </c>
      <c r="D31" s="98">
        <v>6525</v>
      </c>
      <c r="E31" s="18">
        <v>14700</v>
      </c>
    </row>
    <row r="32" spans="1:5" ht="15.75" customHeight="1">
      <c r="A32" s="106" t="s">
        <v>1263</v>
      </c>
      <c r="B32" s="17" t="s">
        <v>1517</v>
      </c>
      <c r="C32" s="13" t="s">
        <v>472</v>
      </c>
      <c r="D32" s="98">
        <v>6556</v>
      </c>
      <c r="E32" s="18">
        <v>63900</v>
      </c>
    </row>
    <row r="33" spans="1:5" ht="15.75" customHeight="1">
      <c r="A33" s="106" t="s">
        <v>1267</v>
      </c>
      <c r="B33" s="17" t="s">
        <v>1518</v>
      </c>
      <c r="C33" s="13" t="s">
        <v>582</v>
      </c>
      <c r="D33" s="98" t="s">
        <v>1519</v>
      </c>
      <c r="E33" s="18">
        <v>130598.59</v>
      </c>
    </row>
    <row r="34" spans="1:5" ht="15.75" customHeight="1">
      <c r="A34" s="106" t="s">
        <v>1270</v>
      </c>
      <c r="B34" s="17" t="s">
        <v>1520</v>
      </c>
      <c r="C34" s="78" t="s">
        <v>1514</v>
      </c>
      <c r="D34" s="98" t="s">
        <v>719</v>
      </c>
      <c r="E34" s="18">
        <v>15100</v>
      </c>
    </row>
    <row r="35" spans="1:5" ht="15.75" customHeight="1">
      <c r="A35" s="106" t="s">
        <v>1273</v>
      </c>
      <c r="B35" s="17" t="s">
        <v>1521</v>
      </c>
      <c r="C35" s="13" t="s">
        <v>1522</v>
      </c>
      <c r="D35" s="98">
        <v>565</v>
      </c>
      <c r="E35" s="18">
        <v>10000</v>
      </c>
    </row>
    <row r="36" spans="1:5" ht="15.75" customHeight="1">
      <c r="A36" s="106" t="s">
        <v>1275</v>
      </c>
      <c r="B36" s="17" t="s">
        <v>1523</v>
      </c>
      <c r="C36" s="13" t="s">
        <v>783</v>
      </c>
      <c r="D36" s="98" t="s">
        <v>1524</v>
      </c>
      <c r="E36" s="18">
        <v>16500</v>
      </c>
    </row>
    <row r="37" spans="1:5" ht="15.75" customHeight="1">
      <c r="A37" s="106" t="s">
        <v>1278</v>
      </c>
      <c r="B37" s="17" t="s">
        <v>1525</v>
      </c>
      <c r="C37" s="13" t="s">
        <v>1526</v>
      </c>
      <c r="D37" s="98">
        <v>158</v>
      </c>
      <c r="E37" s="18">
        <v>4160</v>
      </c>
    </row>
    <row r="38" spans="1:5" ht="15.75" customHeight="1">
      <c r="A38" s="106" t="s">
        <v>1281</v>
      </c>
      <c r="B38" s="24" t="s">
        <v>1527</v>
      </c>
      <c r="C38" s="13" t="s">
        <v>1528</v>
      </c>
      <c r="D38" s="78">
        <v>5381</v>
      </c>
      <c r="E38" s="14">
        <v>112182.22</v>
      </c>
    </row>
    <row r="39" spans="1:5" ht="15.75" customHeight="1">
      <c r="A39" s="11">
        <v>29</v>
      </c>
      <c r="B39" s="12" t="s">
        <v>1529</v>
      </c>
      <c r="C39" s="13" t="s">
        <v>472</v>
      </c>
      <c r="D39" s="13">
        <v>6859</v>
      </c>
      <c r="E39" s="14">
        <v>37830</v>
      </c>
    </row>
    <row r="40" spans="1:5" ht="15.75" customHeight="1">
      <c r="A40" s="11">
        <v>30</v>
      </c>
      <c r="B40" s="17" t="s">
        <v>1530</v>
      </c>
      <c r="C40" s="13" t="s">
        <v>1531</v>
      </c>
      <c r="D40" s="98">
        <v>405</v>
      </c>
      <c r="E40" s="18">
        <v>81000</v>
      </c>
    </row>
    <row r="41" spans="1:5" ht="15.75" customHeight="1">
      <c r="A41" s="11">
        <v>31</v>
      </c>
      <c r="B41" s="17" t="s">
        <v>1532</v>
      </c>
      <c r="C41" s="13" t="s">
        <v>1533</v>
      </c>
      <c r="D41" s="98" t="s">
        <v>1534</v>
      </c>
      <c r="E41" s="18">
        <v>1469</v>
      </c>
    </row>
    <row r="42" spans="1:5" ht="15.75" customHeight="1">
      <c r="A42" s="11">
        <v>32</v>
      </c>
      <c r="B42" s="17" t="s">
        <v>1535</v>
      </c>
      <c r="C42" s="13" t="s">
        <v>828</v>
      </c>
      <c r="D42" s="78" t="s">
        <v>1536</v>
      </c>
      <c r="E42" s="18">
        <v>136150</v>
      </c>
    </row>
    <row r="43" spans="1:5" ht="15.75" customHeight="1">
      <c r="A43" s="11">
        <v>33</v>
      </c>
      <c r="B43" s="17" t="s">
        <v>1537</v>
      </c>
      <c r="C43" s="13" t="s">
        <v>783</v>
      </c>
      <c r="D43" s="78" t="s">
        <v>1538</v>
      </c>
      <c r="E43" s="18">
        <v>64080</v>
      </c>
    </row>
    <row r="44" spans="1:5" ht="15.75" customHeight="1">
      <c r="A44" s="11">
        <v>34</v>
      </c>
      <c r="B44" s="17" t="s">
        <v>1179</v>
      </c>
      <c r="C44" s="13" t="s">
        <v>848</v>
      </c>
      <c r="D44" s="78">
        <v>139462565</v>
      </c>
      <c r="E44" s="18">
        <v>8150</v>
      </c>
    </row>
    <row r="45" spans="1:5" ht="15.75" customHeight="1">
      <c r="A45" s="8" t="s">
        <v>24</v>
      </c>
      <c r="B45" s="203"/>
      <c r="C45" s="204"/>
      <c r="D45" s="205"/>
      <c r="E45" s="49">
        <f>SUM(E12:E44)</f>
        <v>1826321.2100000002</v>
      </c>
    </row>
    <row r="46" spans="1:5" ht="15.75" customHeight="1">
      <c r="A46" s="198"/>
      <c r="B46" s="196"/>
      <c r="C46" s="196"/>
      <c r="D46" s="196"/>
      <c r="E46" s="196"/>
    </row>
    <row r="47" spans="1:5" ht="15.75" customHeight="1">
      <c r="A47" s="198" t="s">
        <v>1539</v>
      </c>
      <c r="B47" s="196"/>
      <c r="C47" s="196"/>
      <c r="D47" s="196"/>
      <c r="E47" s="27">
        <f>IF(E45&gt;=10000000,5000000*2%+5000000*1%+(E45-10000000)*0.5%,IF(E45&gt;=5000000,5000000*2%+(E45-5000000)*1%,E45*2%))</f>
        <v>36526.424200000001</v>
      </c>
    </row>
    <row r="48" spans="1:5" ht="14.25" customHeight="1">
      <c r="A48" s="198" t="s">
        <v>25</v>
      </c>
      <c r="B48" s="196"/>
      <c r="C48" s="196"/>
      <c r="D48" s="196"/>
      <c r="E48" s="196"/>
    </row>
    <row r="49" spans="1:5" ht="35.25" customHeight="1">
      <c r="A49" s="198"/>
      <c r="B49" s="196"/>
      <c r="C49" s="196"/>
      <c r="D49" s="196"/>
      <c r="E49" s="196"/>
    </row>
    <row r="50" spans="1:5" ht="15.75" customHeight="1">
      <c r="A50" s="198" t="s">
        <v>26</v>
      </c>
      <c r="B50" s="196"/>
      <c r="C50" s="196"/>
      <c r="D50" s="196"/>
      <c r="E50" s="196"/>
    </row>
    <row r="51" spans="1:5" ht="15.75" customHeight="1">
      <c r="A51" s="198" t="s">
        <v>27</v>
      </c>
      <c r="B51" s="196"/>
      <c r="C51" s="196"/>
      <c r="D51" s="196"/>
      <c r="E51" s="196"/>
    </row>
    <row r="52" spans="1:5" ht="15.75" customHeight="1">
      <c r="A52" s="198" t="s">
        <v>28</v>
      </c>
      <c r="B52" s="196"/>
      <c r="C52" s="196"/>
      <c r="D52" s="196"/>
      <c r="E52" s="196"/>
    </row>
  </sheetData>
  <mergeCells count="18">
    <mergeCell ref="A52:E52"/>
    <mergeCell ref="A8:E8"/>
    <mergeCell ref="A9:E9"/>
    <mergeCell ref="A10:E10"/>
    <mergeCell ref="B45:D45"/>
    <mergeCell ref="A46:E46"/>
    <mergeCell ref="A47:D47"/>
    <mergeCell ref="A48:E48"/>
    <mergeCell ref="A6:E6"/>
    <mergeCell ref="A7:E7"/>
    <mergeCell ref="A49:E49"/>
    <mergeCell ref="A50:E50"/>
    <mergeCell ref="A51:E51"/>
    <mergeCell ref="A1:E1"/>
    <mergeCell ref="A2:E2"/>
    <mergeCell ref="A3:E3"/>
    <mergeCell ref="A4:E4"/>
    <mergeCell ref="A5:E5"/>
  </mergeCells>
  <conditionalFormatting sqref="E12:E44">
    <cfRule type="notContainsBlanks" dxfId="53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  <pageSetUpPr fitToPage="1"/>
  </sheetPr>
  <dimension ref="A1:E48"/>
  <sheetViews>
    <sheetView workbookViewId="0"/>
  </sheetViews>
  <sheetFormatPr baseColWidth="10" defaultColWidth="12.6640625" defaultRowHeight="15" customHeight="1"/>
  <cols>
    <col min="1" max="1" width="6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1540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1541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06" t="s">
        <v>1209</v>
      </c>
      <c r="B12" s="110" t="s">
        <v>1480</v>
      </c>
      <c r="C12" s="111" t="s">
        <v>1481</v>
      </c>
      <c r="D12" s="111" t="s">
        <v>1482</v>
      </c>
      <c r="E12" s="18">
        <v>106188</v>
      </c>
    </row>
    <row r="13" spans="1:5" ht="15.75" customHeight="1">
      <c r="A13" s="106" t="s">
        <v>1212</v>
      </c>
      <c r="B13" s="112" t="s">
        <v>1483</v>
      </c>
      <c r="C13" s="113" t="s">
        <v>1481</v>
      </c>
      <c r="D13" s="113" t="s">
        <v>1484</v>
      </c>
      <c r="E13" s="18">
        <v>189450</v>
      </c>
    </row>
    <row r="14" spans="1:5" ht="15.75" customHeight="1">
      <c r="A14" s="106" t="s">
        <v>1215</v>
      </c>
      <c r="B14" s="24" t="s">
        <v>1485</v>
      </c>
      <c r="C14" s="42" t="s">
        <v>1398</v>
      </c>
      <c r="D14" s="107" t="s">
        <v>1486</v>
      </c>
      <c r="E14" s="44">
        <v>32197.31</v>
      </c>
    </row>
    <row r="15" spans="1:5" ht="15.75" customHeight="1">
      <c r="A15" s="106" t="s">
        <v>1217</v>
      </c>
      <c r="B15" s="80" t="s">
        <v>1488</v>
      </c>
      <c r="C15" s="13" t="s">
        <v>910</v>
      </c>
      <c r="D15" s="13" t="s">
        <v>1489</v>
      </c>
      <c r="E15" s="14">
        <v>59118</v>
      </c>
    </row>
    <row r="16" spans="1:5" ht="15.75" customHeight="1">
      <c r="A16" s="106" t="s">
        <v>1221</v>
      </c>
      <c r="B16" s="17" t="s">
        <v>1490</v>
      </c>
      <c r="C16" s="98" t="s">
        <v>1491</v>
      </c>
      <c r="D16" s="98">
        <v>6</v>
      </c>
      <c r="E16" s="18">
        <v>288000</v>
      </c>
    </row>
    <row r="17" spans="1:5" ht="15.75" customHeight="1">
      <c r="A17" s="106" t="s">
        <v>1224</v>
      </c>
      <c r="B17" s="24" t="s">
        <v>1492</v>
      </c>
      <c r="C17" s="78" t="s">
        <v>1493</v>
      </c>
      <c r="D17" s="78" t="s">
        <v>1494</v>
      </c>
      <c r="E17" s="18">
        <v>135000</v>
      </c>
    </row>
    <row r="18" spans="1:5" ht="15.75" customHeight="1">
      <c r="A18" s="106" t="s">
        <v>1226</v>
      </c>
      <c r="B18" s="12" t="s">
        <v>1495</v>
      </c>
      <c r="C18" s="13" t="s">
        <v>472</v>
      </c>
      <c r="D18" s="13">
        <v>6180</v>
      </c>
      <c r="E18" s="14">
        <v>5800</v>
      </c>
    </row>
    <row r="19" spans="1:5" ht="15.75" customHeight="1">
      <c r="A19" s="106" t="s">
        <v>1228</v>
      </c>
      <c r="B19" s="24" t="s">
        <v>1496</v>
      </c>
      <c r="C19" s="13" t="s">
        <v>56</v>
      </c>
      <c r="D19" s="78">
        <v>301</v>
      </c>
      <c r="E19" s="18">
        <v>32981</v>
      </c>
    </row>
    <row r="20" spans="1:5" ht="15.75" customHeight="1">
      <c r="A20" s="106" t="s">
        <v>1230</v>
      </c>
      <c r="B20" s="24" t="s">
        <v>1497</v>
      </c>
      <c r="C20" s="13" t="s">
        <v>1498</v>
      </c>
      <c r="D20" s="98" t="s">
        <v>1499</v>
      </c>
      <c r="E20" s="14">
        <v>29623.19</v>
      </c>
    </row>
    <row r="21" spans="1:5" ht="15.75" customHeight="1">
      <c r="A21" s="106" t="s">
        <v>1232</v>
      </c>
      <c r="B21" s="17" t="s">
        <v>1500</v>
      </c>
      <c r="C21" s="13" t="s">
        <v>848</v>
      </c>
      <c r="D21" s="98">
        <v>139492918</v>
      </c>
      <c r="E21" s="18">
        <v>13988.8</v>
      </c>
    </row>
    <row r="22" spans="1:5" ht="15.75" customHeight="1">
      <c r="A22" s="106" t="s">
        <v>1234</v>
      </c>
      <c r="B22" s="17" t="s">
        <v>1501</v>
      </c>
      <c r="C22" s="13" t="s">
        <v>877</v>
      </c>
      <c r="D22" s="98">
        <v>771</v>
      </c>
      <c r="E22" s="18">
        <v>11850</v>
      </c>
    </row>
    <row r="23" spans="1:5" ht="15.75" customHeight="1">
      <c r="A23" s="106" t="s">
        <v>1236</v>
      </c>
      <c r="B23" s="17" t="s">
        <v>1502</v>
      </c>
      <c r="C23" s="78" t="s">
        <v>1503</v>
      </c>
      <c r="D23" s="98">
        <v>91865</v>
      </c>
      <c r="E23" s="18">
        <v>88110</v>
      </c>
    </row>
    <row r="24" spans="1:5" ht="15.75" customHeight="1">
      <c r="A24" s="106" t="s">
        <v>1240</v>
      </c>
      <c r="B24" s="92" t="s">
        <v>1504</v>
      </c>
      <c r="C24" s="13" t="s">
        <v>1498</v>
      </c>
      <c r="D24" s="98" t="s">
        <v>1505</v>
      </c>
      <c r="E24" s="18">
        <v>3978.62</v>
      </c>
    </row>
    <row r="25" spans="1:5" ht="15.75" customHeight="1">
      <c r="A25" s="106" t="s">
        <v>1242</v>
      </c>
      <c r="B25" s="17" t="s">
        <v>1506</v>
      </c>
      <c r="C25" s="13" t="s">
        <v>1498</v>
      </c>
      <c r="D25" s="98" t="s">
        <v>1507</v>
      </c>
      <c r="E25" s="18">
        <v>4212</v>
      </c>
    </row>
    <row r="26" spans="1:5" ht="15.75" customHeight="1">
      <c r="A26" s="106" t="s">
        <v>1245</v>
      </c>
      <c r="B26" s="17" t="s">
        <v>1508</v>
      </c>
      <c r="C26" s="78" t="s">
        <v>1493</v>
      </c>
      <c r="D26" s="98" t="s">
        <v>1509</v>
      </c>
      <c r="E26" s="18">
        <v>38960</v>
      </c>
    </row>
    <row r="27" spans="1:5" ht="15.75" customHeight="1">
      <c r="A27" s="106" t="s">
        <v>1247</v>
      </c>
      <c r="B27" s="17" t="s">
        <v>789</v>
      </c>
      <c r="C27" s="13" t="s">
        <v>15</v>
      </c>
      <c r="D27" s="98" t="s">
        <v>1510</v>
      </c>
      <c r="E27" s="18">
        <v>32009.86</v>
      </c>
    </row>
    <row r="28" spans="1:5" ht="15.75" customHeight="1">
      <c r="A28" s="106" t="s">
        <v>1249</v>
      </c>
      <c r="B28" s="17" t="s">
        <v>1511</v>
      </c>
      <c r="C28" s="78" t="s">
        <v>1512</v>
      </c>
      <c r="D28" s="98">
        <v>1462</v>
      </c>
      <c r="E28" s="18">
        <v>21750</v>
      </c>
    </row>
    <row r="29" spans="1:5" ht="15.75" customHeight="1">
      <c r="A29" s="106" t="s">
        <v>1252</v>
      </c>
      <c r="B29" s="17" t="s">
        <v>1513</v>
      </c>
      <c r="C29" s="78" t="s">
        <v>1514</v>
      </c>
      <c r="D29" s="98" t="s">
        <v>1515</v>
      </c>
      <c r="E29" s="18">
        <v>21900</v>
      </c>
    </row>
    <row r="30" spans="1:5" ht="15.75" customHeight="1">
      <c r="A30" s="106" t="s">
        <v>1255</v>
      </c>
      <c r="B30" s="17" t="s">
        <v>1516</v>
      </c>
      <c r="C30" s="13" t="s">
        <v>472</v>
      </c>
      <c r="D30" s="98">
        <v>6525</v>
      </c>
      <c r="E30" s="18">
        <v>14700</v>
      </c>
    </row>
    <row r="31" spans="1:5" ht="15.75" customHeight="1">
      <c r="A31" s="106" t="s">
        <v>1257</v>
      </c>
      <c r="B31" s="17" t="s">
        <v>1517</v>
      </c>
      <c r="C31" s="13" t="s">
        <v>472</v>
      </c>
      <c r="D31" s="98">
        <v>6556</v>
      </c>
      <c r="E31" s="18">
        <v>63900</v>
      </c>
    </row>
    <row r="32" spans="1:5" ht="15.75" customHeight="1">
      <c r="A32" s="106" t="s">
        <v>1259</v>
      </c>
      <c r="B32" s="17" t="s">
        <v>1518</v>
      </c>
      <c r="C32" s="13" t="s">
        <v>582</v>
      </c>
      <c r="D32" s="98" t="s">
        <v>1519</v>
      </c>
      <c r="E32" s="18">
        <v>130598.59</v>
      </c>
    </row>
    <row r="33" spans="1:5" ht="15.75" customHeight="1">
      <c r="A33" s="106" t="s">
        <v>1263</v>
      </c>
      <c r="B33" s="17" t="s">
        <v>1523</v>
      </c>
      <c r="C33" s="13" t="s">
        <v>783</v>
      </c>
      <c r="D33" s="98" t="s">
        <v>1524</v>
      </c>
      <c r="E33" s="18">
        <v>16500</v>
      </c>
    </row>
    <row r="34" spans="1:5" ht="15.75" customHeight="1">
      <c r="A34" s="106" t="s">
        <v>1267</v>
      </c>
      <c r="B34" s="24" t="s">
        <v>1527</v>
      </c>
      <c r="C34" s="13" t="s">
        <v>1528</v>
      </c>
      <c r="D34" s="78">
        <v>5381</v>
      </c>
      <c r="E34" s="14">
        <v>112182.22</v>
      </c>
    </row>
    <row r="35" spans="1:5" ht="15.75" customHeight="1">
      <c r="A35" s="106" t="s">
        <v>1270</v>
      </c>
      <c r="B35" s="12" t="s">
        <v>1529</v>
      </c>
      <c r="C35" s="13" t="s">
        <v>472</v>
      </c>
      <c r="D35" s="13">
        <v>6859</v>
      </c>
      <c r="E35" s="14">
        <v>37830</v>
      </c>
    </row>
    <row r="36" spans="1:5" ht="15.75" customHeight="1">
      <c r="A36" s="106" t="s">
        <v>1273</v>
      </c>
      <c r="B36" s="17" t="s">
        <v>1530</v>
      </c>
      <c r="C36" s="13" t="s">
        <v>1531</v>
      </c>
      <c r="D36" s="98">
        <v>405</v>
      </c>
      <c r="E36" s="18">
        <v>81000</v>
      </c>
    </row>
    <row r="37" spans="1:5" ht="15.75" customHeight="1">
      <c r="A37" s="106" t="s">
        <v>1275</v>
      </c>
      <c r="B37" s="17" t="s">
        <v>1532</v>
      </c>
      <c r="C37" s="13" t="s">
        <v>1533</v>
      </c>
      <c r="D37" s="98" t="s">
        <v>1534</v>
      </c>
      <c r="E37" s="18">
        <v>1469</v>
      </c>
    </row>
    <row r="38" spans="1:5" ht="15.75" customHeight="1">
      <c r="A38" s="106" t="s">
        <v>1278</v>
      </c>
      <c r="B38" s="17" t="s">
        <v>1535</v>
      </c>
      <c r="C38" s="13" t="s">
        <v>828</v>
      </c>
      <c r="D38" s="78" t="s">
        <v>1536</v>
      </c>
      <c r="E38" s="18">
        <v>136150</v>
      </c>
    </row>
    <row r="39" spans="1:5" ht="15.75" customHeight="1">
      <c r="A39" s="106" t="s">
        <v>1281</v>
      </c>
      <c r="B39" s="17" t="s">
        <v>1537</v>
      </c>
      <c r="C39" s="13" t="s">
        <v>783</v>
      </c>
      <c r="D39" s="78" t="s">
        <v>1538</v>
      </c>
      <c r="E39" s="18">
        <v>64080</v>
      </c>
    </row>
    <row r="40" spans="1:5" ht="15.75" customHeight="1">
      <c r="A40" s="106" t="s">
        <v>1284</v>
      </c>
      <c r="B40" s="17" t="s">
        <v>1542</v>
      </c>
      <c r="C40" s="13" t="s">
        <v>1543</v>
      </c>
      <c r="D40" s="13">
        <v>476</v>
      </c>
      <c r="E40" s="18">
        <v>525522</v>
      </c>
    </row>
    <row r="41" spans="1:5" ht="15.75" customHeight="1">
      <c r="A41" s="108" t="s">
        <v>24</v>
      </c>
      <c r="B41" s="203"/>
      <c r="C41" s="204"/>
      <c r="D41" s="205"/>
      <c r="E41" s="49">
        <f>SUM(E12:E40)</f>
        <v>2299048.59</v>
      </c>
    </row>
    <row r="42" spans="1:5" ht="15.75" customHeight="1">
      <c r="A42" s="211"/>
      <c r="B42" s="196"/>
      <c r="C42" s="196"/>
      <c r="D42" s="196"/>
      <c r="E42" s="196"/>
    </row>
    <row r="43" spans="1:5" ht="15.75" customHeight="1">
      <c r="A43" s="211" t="s">
        <v>1544</v>
      </c>
      <c r="B43" s="196"/>
      <c r="C43" s="196"/>
      <c r="D43" s="196"/>
      <c r="E43" s="27">
        <f>E41*8%</f>
        <v>183923.8872</v>
      </c>
    </row>
    <row r="44" spans="1:5" ht="14.25" customHeight="1">
      <c r="A44" s="211" t="s">
        <v>25</v>
      </c>
      <c r="B44" s="196"/>
      <c r="C44" s="196"/>
      <c r="D44" s="196"/>
      <c r="E44" s="196"/>
    </row>
    <row r="45" spans="1:5" ht="35.25" customHeight="1">
      <c r="A45" s="211"/>
      <c r="B45" s="196"/>
      <c r="C45" s="196"/>
      <c r="D45" s="196"/>
      <c r="E45" s="196"/>
    </row>
    <row r="46" spans="1:5" ht="15.75" customHeight="1">
      <c r="A46" s="211" t="s">
        <v>26</v>
      </c>
      <c r="B46" s="196"/>
      <c r="C46" s="196"/>
      <c r="D46" s="196"/>
      <c r="E46" s="196"/>
    </row>
    <row r="47" spans="1:5" ht="15.75" customHeight="1">
      <c r="A47" s="211" t="s">
        <v>27</v>
      </c>
      <c r="B47" s="196"/>
      <c r="C47" s="196"/>
      <c r="D47" s="196"/>
      <c r="E47" s="196"/>
    </row>
    <row r="48" spans="1:5" ht="15.75" customHeight="1">
      <c r="A48" s="211" t="s">
        <v>28</v>
      </c>
      <c r="B48" s="196"/>
      <c r="C48" s="196"/>
      <c r="D48" s="196"/>
      <c r="E48" s="196"/>
    </row>
  </sheetData>
  <mergeCells count="18">
    <mergeCell ref="A48:E48"/>
    <mergeCell ref="A8:E8"/>
    <mergeCell ref="A9:E9"/>
    <mergeCell ref="A10:E10"/>
    <mergeCell ref="B41:D41"/>
    <mergeCell ref="A42:E42"/>
    <mergeCell ref="A43:D43"/>
    <mergeCell ref="A44:E44"/>
    <mergeCell ref="A6:E6"/>
    <mergeCell ref="A7:E7"/>
    <mergeCell ref="A45:E45"/>
    <mergeCell ref="A46:E46"/>
    <mergeCell ref="A47:E47"/>
    <mergeCell ref="A1:E1"/>
    <mergeCell ref="A2:E2"/>
    <mergeCell ref="A3:E3"/>
    <mergeCell ref="A4:E4"/>
    <mergeCell ref="A5:E5"/>
  </mergeCells>
  <conditionalFormatting sqref="E12:E40">
    <cfRule type="notContainsBlanks" dxfId="52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  <pageSetUpPr fitToPage="1"/>
  </sheetPr>
  <dimension ref="A1:E40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615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1545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06" t="s">
        <v>1209</v>
      </c>
      <c r="B12" s="110" t="s">
        <v>1546</v>
      </c>
      <c r="C12" s="111" t="s">
        <v>1481</v>
      </c>
      <c r="D12" s="111" t="s">
        <v>1547</v>
      </c>
      <c r="E12" s="18">
        <v>79990</v>
      </c>
    </row>
    <row r="13" spans="1:5" ht="15.75" customHeight="1">
      <c r="A13" s="106" t="s">
        <v>1212</v>
      </c>
      <c r="B13" s="17" t="s">
        <v>1548</v>
      </c>
      <c r="C13" s="13" t="s">
        <v>1549</v>
      </c>
      <c r="D13" s="13">
        <v>331</v>
      </c>
      <c r="E13" s="18">
        <v>153497.20000000001</v>
      </c>
    </row>
    <row r="14" spans="1:5" ht="15.75" customHeight="1">
      <c r="A14" s="106" t="s">
        <v>1215</v>
      </c>
      <c r="B14" s="17" t="s">
        <v>1550</v>
      </c>
      <c r="C14" s="13" t="s">
        <v>1551</v>
      </c>
      <c r="D14" s="78">
        <v>20</v>
      </c>
      <c r="E14" s="18">
        <v>130884</v>
      </c>
    </row>
    <row r="15" spans="1:5" ht="15.75" customHeight="1">
      <c r="A15" s="106" t="s">
        <v>1217</v>
      </c>
      <c r="B15" s="17" t="s">
        <v>1552</v>
      </c>
      <c r="C15" s="78" t="s">
        <v>1553</v>
      </c>
      <c r="D15" s="98">
        <v>927</v>
      </c>
      <c r="E15" s="18">
        <v>6000</v>
      </c>
    </row>
    <row r="16" spans="1:5" ht="15.75" customHeight="1">
      <c r="A16" s="106" t="s">
        <v>1221</v>
      </c>
      <c r="B16" s="24" t="s">
        <v>1554</v>
      </c>
      <c r="C16" s="13" t="s">
        <v>334</v>
      </c>
      <c r="D16" s="78">
        <v>141985408</v>
      </c>
      <c r="E16" s="18">
        <v>1040</v>
      </c>
    </row>
    <row r="17" spans="1:5" ht="15.75" customHeight="1">
      <c r="A17" s="106" t="s">
        <v>1224</v>
      </c>
      <c r="B17" s="24" t="s">
        <v>1555</v>
      </c>
      <c r="C17" s="13" t="s">
        <v>1556</v>
      </c>
      <c r="D17" s="98">
        <v>685</v>
      </c>
      <c r="E17" s="14">
        <v>89520</v>
      </c>
    </row>
    <row r="18" spans="1:5" ht="15.75" customHeight="1">
      <c r="A18" s="106" t="s">
        <v>1226</v>
      </c>
      <c r="B18" s="17" t="s">
        <v>1557</v>
      </c>
      <c r="C18" s="13" t="s">
        <v>15</v>
      </c>
      <c r="D18" s="98" t="s">
        <v>1558</v>
      </c>
      <c r="E18" s="18">
        <v>8436.48</v>
      </c>
    </row>
    <row r="19" spans="1:5" ht="15.75" customHeight="1">
      <c r="A19" s="106" t="s">
        <v>1228</v>
      </c>
      <c r="B19" s="24" t="s">
        <v>1559</v>
      </c>
      <c r="C19" s="78" t="s">
        <v>1528</v>
      </c>
      <c r="D19" s="98">
        <v>5390</v>
      </c>
      <c r="E19" s="18">
        <v>148225</v>
      </c>
    </row>
    <row r="20" spans="1:5" ht="15.75" customHeight="1">
      <c r="A20" s="106" t="s">
        <v>1230</v>
      </c>
      <c r="B20" s="17" t="s">
        <v>1560</v>
      </c>
      <c r="C20" s="13" t="s">
        <v>45</v>
      </c>
      <c r="D20" s="98" t="s">
        <v>1561</v>
      </c>
      <c r="E20" s="18">
        <v>20230</v>
      </c>
    </row>
    <row r="21" spans="1:5" ht="15.75" customHeight="1">
      <c r="A21" s="106" t="s">
        <v>1232</v>
      </c>
      <c r="B21" s="17" t="s">
        <v>1562</v>
      </c>
      <c r="C21" s="78" t="s">
        <v>1514</v>
      </c>
      <c r="D21" s="98" t="s">
        <v>1563</v>
      </c>
      <c r="E21" s="18">
        <v>11850</v>
      </c>
    </row>
    <row r="22" spans="1:5" ht="15.75" customHeight="1">
      <c r="A22" s="106" t="s">
        <v>1234</v>
      </c>
      <c r="B22" s="17" t="s">
        <v>1564</v>
      </c>
      <c r="C22" s="78" t="s">
        <v>378</v>
      </c>
      <c r="D22" s="98">
        <v>709</v>
      </c>
      <c r="E22" s="18">
        <v>4500</v>
      </c>
    </row>
    <row r="23" spans="1:5" ht="15.75" customHeight="1">
      <c r="A23" s="106" t="s">
        <v>1236</v>
      </c>
      <c r="B23" s="17" t="s">
        <v>1565</v>
      </c>
      <c r="C23" s="13" t="s">
        <v>1566</v>
      </c>
      <c r="D23" s="98">
        <v>5068801</v>
      </c>
      <c r="E23" s="18">
        <v>18300</v>
      </c>
    </row>
    <row r="24" spans="1:5" ht="15.75" customHeight="1">
      <c r="A24" s="106" t="s">
        <v>1240</v>
      </c>
      <c r="B24" s="17" t="s">
        <v>1567</v>
      </c>
      <c r="C24" s="13" t="s">
        <v>472</v>
      </c>
      <c r="D24" s="98">
        <v>7146</v>
      </c>
      <c r="E24" s="18">
        <v>5100</v>
      </c>
    </row>
    <row r="25" spans="1:5" ht="15.75" customHeight="1">
      <c r="A25" s="106" t="s">
        <v>1242</v>
      </c>
      <c r="B25" s="17" t="s">
        <v>1568</v>
      </c>
      <c r="C25" s="13" t="s">
        <v>334</v>
      </c>
      <c r="D25" s="98">
        <v>143609476</v>
      </c>
      <c r="E25" s="18">
        <v>30288</v>
      </c>
    </row>
    <row r="26" spans="1:5" ht="15.75" customHeight="1">
      <c r="A26" s="106" t="s">
        <v>1245</v>
      </c>
      <c r="B26" s="17" t="s">
        <v>1569</v>
      </c>
      <c r="C26" s="13" t="s">
        <v>15</v>
      </c>
      <c r="D26" s="98" t="s">
        <v>1570</v>
      </c>
      <c r="E26" s="18">
        <v>27954.36</v>
      </c>
    </row>
    <row r="27" spans="1:5" ht="15.75" customHeight="1">
      <c r="A27" s="106" t="s">
        <v>1247</v>
      </c>
      <c r="B27" s="17" t="s">
        <v>1571</v>
      </c>
      <c r="C27" s="13" t="s">
        <v>334</v>
      </c>
      <c r="D27" s="98">
        <v>144309834</v>
      </c>
      <c r="E27" s="18">
        <v>1280</v>
      </c>
    </row>
    <row r="28" spans="1:5" ht="15.75" customHeight="1">
      <c r="A28" s="106" t="s">
        <v>1249</v>
      </c>
      <c r="B28" s="24" t="s">
        <v>1572</v>
      </c>
      <c r="C28" s="107" t="s">
        <v>1573</v>
      </c>
      <c r="D28" s="115" t="s">
        <v>1574</v>
      </c>
      <c r="E28" s="44">
        <v>261540</v>
      </c>
    </row>
    <row r="29" spans="1:5" ht="15.75" customHeight="1">
      <c r="A29" s="106" t="s">
        <v>1252</v>
      </c>
      <c r="B29" s="17" t="s">
        <v>1575</v>
      </c>
      <c r="C29" s="13" t="s">
        <v>1576</v>
      </c>
      <c r="D29" s="98">
        <v>456</v>
      </c>
      <c r="E29" s="18">
        <v>9000</v>
      </c>
    </row>
    <row r="30" spans="1:5" ht="15.75" customHeight="1">
      <c r="A30" s="106" t="s">
        <v>1255</v>
      </c>
      <c r="B30" s="24" t="s">
        <v>1577</v>
      </c>
      <c r="C30" s="13" t="s">
        <v>378</v>
      </c>
      <c r="D30" s="78">
        <v>1809</v>
      </c>
      <c r="E30" s="14">
        <v>2128</v>
      </c>
    </row>
    <row r="31" spans="1:5" ht="15.75" customHeight="1">
      <c r="A31" s="106" t="s">
        <v>1257</v>
      </c>
      <c r="B31" s="24" t="s">
        <v>1578</v>
      </c>
      <c r="C31" s="107" t="s">
        <v>1579</v>
      </c>
      <c r="D31" s="115">
        <v>70</v>
      </c>
      <c r="E31" s="44">
        <v>2040000</v>
      </c>
    </row>
    <row r="32" spans="1:5" ht="15.75" customHeight="1">
      <c r="A32" s="106" t="s">
        <v>1259</v>
      </c>
      <c r="B32" s="17" t="s">
        <v>1580</v>
      </c>
      <c r="C32" s="78" t="s">
        <v>1581</v>
      </c>
      <c r="D32" s="78">
        <v>424</v>
      </c>
      <c r="E32" s="18">
        <v>150000</v>
      </c>
    </row>
    <row r="33" spans="1:5" ht="15.75" customHeight="1">
      <c r="A33" s="8" t="s">
        <v>24</v>
      </c>
      <c r="B33" s="203"/>
      <c r="C33" s="204"/>
      <c r="D33" s="205"/>
      <c r="E33" s="49">
        <f>SUM(E12:E32)</f>
        <v>3199763.04</v>
      </c>
    </row>
    <row r="34" spans="1:5" ht="15.75" customHeight="1">
      <c r="A34" s="198"/>
      <c r="B34" s="196"/>
      <c r="C34" s="196"/>
      <c r="D34" s="196"/>
      <c r="E34" s="196"/>
    </row>
    <row r="35" spans="1:5" ht="15.75" customHeight="1">
      <c r="A35" s="198" t="s">
        <v>1582</v>
      </c>
      <c r="B35" s="196"/>
      <c r="C35" s="196"/>
      <c r="D35" s="196"/>
      <c r="E35" s="27">
        <f>IF(E33&gt;=10000000,5000000*2%+5000000*1%+(E33-10000000)*0.5%,IF(E33&gt;=5000000,5000000*2%+(E33-5000000)*1%,E33*2%))</f>
        <v>63995.260800000004</v>
      </c>
    </row>
    <row r="36" spans="1:5" ht="14.25" customHeight="1">
      <c r="A36" s="198" t="s">
        <v>25</v>
      </c>
      <c r="B36" s="196"/>
      <c r="C36" s="196"/>
      <c r="D36" s="196"/>
      <c r="E36" s="196"/>
    </row>
    <row r="37" spans="1:5" ht="35.25" customHeight="1">
      <c r="A37" s="198"/>
      <c r="B37" s="196"/>
      <c r="C37" s="196"/>
      <c r="D37" s="196"/>
      <c r="E37" s="196"/>
    </row>
    <row r="38" spans="1:5" ht="15.75" customHeight="1">
      <c r="A38" s="198" t="s">
        <v>26</v>
      </c>
      <c r="B38" s="196"/>
      <c r="C38" s="196"/>
      <c r="D38" s="196"/>
      <c r="E38" s="196"/>
    </row>
    <row r="39" spans="1:5" ht="15.75" customHeight="1">
      <c r="A39" s="198" t="s">
        <v>27</v>
      </c>
      <c r="B39" s="196"/>
      <c r="C39" s="196"/>
      <c r="D39" s="196"/>
      <c r="E39" s="196"/>
    </row>
    <row r="40" spans="1:5" ht="15.75" customHeight="1">
      <c r="A40" s="198" t="s">
        <v>28</v>
      </c>
      <c r="B40" s="196"/>
      <c r="C40" s="196"/>
      <c r="D40" s="196"/>
      <c r="E40" s="196"/>
    </row>
  </sheetData>
  <mergeCells count="18">
    <mergeCell ref="A40:E40"/>
    <mergeCell ref="A8:E8"/>
    <mergeCell ref="A9:E9"/>
    <mergeCell ref="A10:E10"/>
    <mergeCell ref="B33:D33"/>
    <mergeCell ref="A34:E34"/>
    <mergeCell ref="A35:D35"/>
    <mergeCell ref="A36:E36"/>
    <mergeCell ref="A6:E6"/>
    <mergeCell ref="A7:E7"/>
    <mergeCell ref="A37:E37"/>
    <mergeCell ref="A38:E38"/>
    <mergeCell ref="A39:E39"/>
    <mergeCell ref="A1:E1"/>
    <mergeCell ref="A2:E2"/>
    <mergeCell ref="A3:E3"/>
    <mergeCell ref="A4:E4"/>
    <mergeCell ref="A5:E5"/>
  </mergeCells>
  <conditionalFormatting sqref="E12:E32">
    <cfRule type="notContainsBlanks" dxfId="51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  <pageSetUpPr fitToPage="1"/>
  </sheetPr>
  <dimension ref="A1:E33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1540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1583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06" t="s">
        <v>1212</v>
      </c>
      <c r="B12" s="17" t="s">
        <v>1548</v>
      </c>
      <c r="C12" s="13" t="s">
        <v>1549</v>
      </c>
      <c r="D12" s="13">
        <v>331</v>
      </c>
      <c r="E12" s="18">
        <v>153497.20000000001</v>
      </c>
    </row>
    <row r="13" spans="1:5" ht="15.75" customHeight="1">
      <c r="A13" s="106" t="s">
        <v>1217</v>
      </c>
      <c r="B13" s="17" t="s">
        <v>1552</v>
      </c>
      <c r="C13" s="78" t="s">
        <v>1553</v>
      </c>
      <c r="D13" s="98">
        <v>927</v>
      </c>
      <c r="E13" s="18">
        <v>6000</v>
      </c>
    </row>
    <row r="14" spans="1:5" ht="15.75" customHeight="1">
      <c r="A14" s="106" t="s">
        <v>1221</v>
      </c>
      <c r="B14" s="24" t="s">
        <v>1554</v>
      </c>
      <c r="C14" s="13" t="s">
        <v>334</v>
      </c>
      <c r="D14" s="78">
        <v>141985408</v>
      </c>
      <c r="E14" s="18">
        <v>1040</v>
      </c>
    </row>
    <row r="15" spans="1:5" ht="15.75" customHeight="1">
      <c r="A15" s="106" t="s">
        <v>1224</v>
      </c>
      <c r="B15" s="24" t="s">
        <v>1555</v>
      </c>
      <c r="C15" s="13" t="s">
        <v>1556</v>
      </c>
      <c r="D15" s="98">
        <v>685</v>
      </c>
      <c r="E15" s="14">
        <v>89520</v>
      </c>
    </row>
    <row r="16" spans="1:5" ht="15.75" customHeight="1">
      <c r="A16" s="106" t="s">
        <v>1226</v>
      </c>
      <c r="B16" s="17" t="s">
        <v>1557</v>
      </c>
      <c r="C16" s="13" t="s">
        <v>15</v>
      </c>
      <c r="D16" s="98" t="s">
        <v>1558</v>
      </c>
      <c r="E16" s="18">
        <v>8436.48</v>
      </c>
    </row>
    <row r="17" spans="1:5" ht="15.75" customHeight="1">
      <c r="A17" s="106" t="s">
        <v>1230</v>
      </c>
      <c r="B17" s="17" t="s">
        <v>1560</v>
      </c>
      <c r="C17" s="13" t="s">
        <v>45</v>
      </c>
      <c r="D17" s="98" t="s">
        <v>1561</v>
      </c>
      <c r="E17" s="18">
        <v>20230</v>
      </c>
    </row>
    <row r="18" spans="1:5" ht="15.75" customHeight="1">
      <c r="A18" s="106" t="s">
        <v>1232</v>
      </c>
      <c r="B18" s="17" t="s">
        <v>1562</v>
      </c>
      <c r="C18" s="78" t="s">
        <v>1514</v>
      </c>
      <c r="D18" s="98" t="s">
        <v>1563</v>
      </c>
      <c r="E18" s="18">
        <v>11850</v>
      </c>
    </row>
    <row r="19" spans="1:5" ht="15.75" customHeight="1">
      <c r="A19" s="106" t="s">
        <v>1236</v>
      </c>
      <c r="B19" s="17" t="s">
        <v>1565</v>
      </c>
      <c r="C19" s="13" t="s">
        <v>1566</v>
      </c>
      <c r="D19" s="98">
        <v>5068801</v>
      </c>
      <c r="E19" s="18">
        <v>18300</v>
      </c>
    </row>
    <row r="20" spans="1:5" ht="15.75" customHeight="1">
      <c r="A20" s="106" t="s">
        <v>1240</v>
      </c>
      <c r="B20" s="17" t="s">
        <v>1567</v>
      </c>
      <c r="C20" s="13" t="s">
        <v>472</v>
      </c>
      <c r="D20" s="98">
        <v>7146</v>
      </c>
      <c r="E20" s="18">
        <v>5100</v>
      </c>
    </row>
    <row r="21" spans="1:5" ht="15.75" customHeight="1">
      <c r="A21" s="106" t="s">
        <v>1242</v>
      </c>
      <c r="B21" s="17" t="s">
        <v>1568</v>
      </c>
      <c r="C21" s="13" t="s">
        <v>334</v>
      </c>
      <c r="D21" s="98">
        <v>143609476</v>
      </c>
      <c r="E21" s="18">
        <v>30288</v>
      </c>
    </row>
    <row r="22" spans="1:5" ht="15.75" customHeight="1">
      <c r="A22" s="106" t="s">
        <v>1245</v>
      </c>
      <c r="B22" s="17" t="s">
        <v>1569</v>
      </c>
      <c r="C22" s="13" t="s">
        <v>15</v>
      </c>
      <c r="D22" s="98" t="s">
        <v>1570</v>
      </c>
      <c r="E22" s="18">
        <v>27954.36</v>
      </c>
    </row>
    <row r="23" spans="1:5" ht="15.75" customHeight="1">
      <c r="A23" s="106" t="s">
        <v>1247</v>
      </c>
      <c r="B23" s="17" t="s">
        <v>1571</v>
      </c>
      <c r="C23" s="13" t="s">
        <v>334</v>
      </c>
      <c r="D23" s="98">
        <v>144309834</v>
      </c>
      <c r="E23" s="18">
        <v>914.3</v>
      </c>
    </row>
    <row r="24" spans="1:5" ht="15.75" customHeight="1">
      <c r="A24" s="106" t="s">
        <v>1249</v>
      </c>
      <c r="B24" s="24" t="s">
        <v>1572</v>
      </c>
      <c r="C24" s="107" t="s">
        <v>1573</v>
      </c>
      <c r="D24" s="115" t="s">
        <v>1574</v>
      </c>
      <c r="E24" s="44">
        <v>261540</v>
      </c>
    </row>
    <row r="25" spans="1:5" ht="15.75" customHeight="1">
      <c r="A25" s="106" t="s">
        <v>1257</v>
      </c>
      <c r="B25" s="24" t="s">
        <v>1578</v>
      </c>
      <c r="C25" s="107" t="s">
        <v>1579</v>
      </c>
      <c r="D25" s="115">
        <v>70</v>
      </c>
      <c r="E25" s="44">
        <v>2040000</v>
      </c>
    </row>
    <row r="26" spans="1:5" ht="15.75" customHeight="1">
      <c r="A26" s="8" t="s">
        <v>24</v>
      </c>
      <c r="B26" s="203"/>
      <c r="C26" s="204"/>
      <c r="D26" s="205"/>
      <c r="E26" s="49">
        <f>SUM(E12:E25)</f>
        <v>2674670.34</v>
      </c>
    </row>
    <row r="27" spans="1:5" ht="15.75" customHeight="1">
      <c r="A27" s="198"/>
      <c r="B27" s="196"/>
      <c r="C27" s="196"/>
      <c r="D27" s="196"/>
      <c r="E27" s="196"/>
    </row>
    <row r="28" spans="1:5" ht="15.75" customHeight="1">
      <c r="A28" s="198" t="s">
        <v>1584</v>
      </c>
      <c r="B28" s="196"/>
      <c r="C28" s="196"/>
      <c r="D28" s="196"/>
      <c r="E28" s="27">
        <f>E26*8%</f>
        <v>213973.62719999999</v>
      </c>
    </row>
    <row r="29" spans="1:5" ht="14.25" customHeight="1">
      <c r="A29" s="198" t="s">
        <v>25</v>
      </c>
      <c r="B29" s="196"/>
      <c r="C29" s="196"/>
      <c r="D29" s="196"/>
      <c r="E29" s="196"/>
    </row>
    <row r="30" spans="1:5" ht="35.25" customHeight="1">
      <c r="A30" s="198"/>
      <c r="B30" s="196"/>
      <c r="C30" s="196"/>
      <c r="D30" s="196"/>
      <c r="E30" s="196"/>
    </row>
    <row r="31" spans="1:5" ht="15.75" customHeight="1">
      <c r="A31" s="198" t="s">
        <v>26</v>
      </c>
      <c r="B31" s="196"/>
      <c r="C31" s="196"/>
      <c r="D31" s="196"/>
      <c r="E31" s="196"/>
    </row>
    <row r="32" spans="1:5" ht="15.75" customHeight="1">
      <c r="A32" s="198" t="s">
        <v>27</v>
      </c>
      <c r="B32" s="196"/>
      <c r="C32" s="196"/>
      <c r="D32" s="196"/>
      <c r="E32" s="196"/>
    </row>
    <row r="33" spans="1:5" ht="15.75" customHeight="1">
      <c r="A33" s="198" t="s">
        <v>28</v>
      </c>
      <c r="B33" s="196"/>
      <c r="C33" s="196"/>
      <c r="D33" s="196"/>
      <c r="E33" s="196"/>
    </row>
  </sheetData>
  <mergeCells count="18">
    <mergeCell ref="A33:E33"/>
    <mergeCell ref="A8:E8"/>
    <mergeCell ref="A9:E9"/>
    <mergeCell ref="A10:E10"/>
    <mergeCell ref="B26:D26"/>
    <mergeCell ref="A27:E27"/>
    <mergeCell ref="A28:D28"/>
    <mergeCell ref="A29:E29"/>
    <mergeCell ref="A6:E6"/>
    <mergeCell ref="A7:E7"/>
    <mergeCell ref="A30:E30"/>
    <mergeCell ref="A31:E31"/>
    <mergeCell ref="A32:E32"/>
    <mergeCell ref="A1:E1"/>
    <mergeCell ref="A2:E2"/>
    <mergeCell ref="A3:E3"/>
    <mergeCell ref="A4:E4"/>
    <mergeCell ref="A5:E5"/>
  </mergeCells>
  <conditionalFormatting sqref="E12:E25">
    <cfRule type="notContainsBlanks" dxfId="50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  <pageSetUpPr fitToPage="1"/>
  </sheetPr>
  <dimension ref="A1:E38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615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1585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"/>
      <c r="B12" s="17" t="s">
        <v>1578</v>
      </c>
      <c r="C12" s="78" t="s">
        <v>1579</v>
      </c>
      <c r="D12" s="98">
        <v>70</v>
      </c>
      <c r="E12" s="18">
        <v>1020000</v>
      </c>
    </row>
    <row r="13" spans="1:5" ht="15.75" customHeight="1">
      <c r="A13" s="11"/>
      <c r="B13" s="24" t="s">
        <v>1586</v>
      </c>
      <c r="C13" s="13" t="s">
        <v>1587</v>
      </c>
      <c r="D13" s="98">
        <v>13</v>
      </c>
      <c r="E13" s="14">
        <v>312627</v>
      </c>
    </row>
    <row r="14" spans="1:5" ht="15.75" customHeight="1">
      <c r="A14" s="11"/>
      <c r="B14" s="17" t="s">
        <v>1588</v>
      </c>
      <c r="C14" s="13" t="s">
        <v>1589</v>
      </c>
      <c r="D14" s="98">
        <v>37</v>
      </c>
      <c r="E14" s="18">
        <v>36012</v>
      </c>
    </row>
    <row r="15" spans="1:5" ht="15.75" customHeight="1">
      <c r="A15" s="11"/>
      <c r="B15" s="17" t="s">
        <v>1590</v>
      </c>
      <c r="C15" s="78" t="s">
        <v>218</v>
      </c>
      <c r="D15" s="98">
        <v>470</v>
      </c>
      <c r="E15" s="18">
        <v>2067500</v>
      </c>
    </row>
    <row r="16" spans="1:5" ht="15.75" customHeight="1">
      <c r="A16" s="11"/>
      <c r="B16" s="17" t="s">
        <v>1591</v>
      </c>
      <c r="C16" s="13" t="s">
        <v>56</v>
      </c>
      <c r="D16" s="98">
        <v>378</v>
      </c>
      <c r="E16" s="18">
        <v>17000</v>
      </c>
    </row>
    <row r="17" spans="1:5" ht="15.75" customHeight="1">
      <c r="A17" s="11"/>
      <c r="B17" s="17" t="s">
        <v>1592</v>
      </c>
      <c r="C17" s="13" t="s">
        <v>1593</v>
      </c>
      <c r="D17" s="78">
        <v>152</v>
      </c>
      <c r="E17" s="18">
        <v>7920</v>
      </c>
    </row>
    <row r="18" spans="1:5" ht="15.75" customHeight="1">
      <c r="A18" s="11"/>
      <c r="B18" s="17" t="s">
        <v>1594</v>
      </c>
      <c r="C18" s="78" t="s">
        <v>910</v>
      </c>
      <c r="D18" s="78" t="s">
        <v>1595</v>
      </c>
      <c r="E18" s="18">
        <v>4287</v>
      </c>
    </row>
    <row r="19" spans="1:5" ht="15.75" customHeight="1">
      <c r="A19" s="11"/>
      <c r="B19" s="17" t="s">
        <v>1596</v>
      </c>
      <c r="C19" s="78" t="s">
        <v>81</v>
      </c>
      <c r="D19" s="98" t="s">
        <v>1597</v>
      </c>
      <c r="E19" s="18">
        <v>10120</v>
      </c>
    </row>
    <row r="20" spans="1:5" ht="15.75" customHeight="1">
      <c r="A20" s="11"/>
      <c r="B20" s="17" t="s">
        <v>1598</v>
      </c>
      <c r="C20" s="13" t="s">
        <v>1599</v>
      </c>
      <c r="D20" s="98">
        <v>420</v>
      </c>
      <c r="E20" s="18">
        <v>38500</v>
      </c>
    </row>
    <row r="21" spans="1:5" ht="15.75" customHeight="1">
      <c r="A21" s="11"/>
      <c r="B21" s="17" t="s">
        <v>1600</v>
      </c>
      <c r="C21" s="13" t="s">
        <v>218</v>
      </c>
      <c r="D21" s="98">
        <v>493</v>
      </c>
      <c r="E21" s="18">
        <v>178000</v>
      </c>
    </row>
    <row r="22" spans="1:5" ht="15.75" customHeight="1">
      <c r="A22" s="11"/>
      <c r="B22" s="17" t="s">
        <v>1601</v>
      </c>
      <c r="C22" s="13" t="s">
        <v>1602</v>
      </c>
      <c r="D22" s="98">
        <v>911</v>
      </c>
      <c r="E22" s="18">
        <v>68500</v>
      </c>
    </row>
    <row r="23" spans="1:5" ht="15.75" customHeight="1">
      <c r="A23" s="11"/>
      <c r="B23" s="110" t="s">
        <v>1603</v>
      </c>
      <c r="C23" s="111" t="s">
        <v>1481</v>
      </c>
      <c r="D23" s="111" t="s">
        <v>1604</v>
      </c>
      <c r="E23" s="18">
        <v>989207.5</v>
      </c>
    </row>
    <row r="24" spans="1:5" ht="15.75" customHeight="1">
      <c r="A24" s="11"/>
      <c r="B24" s="110" t="s">
        <v>1605</v>
      </c>
      <c r="C24" s="111" t="s">
        <v>1481</v>
      </c>
      <c r="D24" s="111" t="s">
        <v>1606</v>
      </c>
      <c r="E24" s="18">
        <v>1794746</v>
      </c>
    </row>
    <row r="25" spans="1:5" ht="15.75" customHeight="1">
      <c r="A25" s="11"/>
      <c r="B25" s="24" t="s">
        <v>1607</v>
      </c>
      <c r="C25" s="13" t="s">
        <v>1608</v>
      </c>
      <c r="D25" s="78">
        <v>4352</v>
      </c>
      <c r="E25" s="14">
        <v>4355</v>
      </c>
    </row>
    <row r="26" spans="1:5" ht="15.75" customHeight="1">
      <c r="A26" s="11"/>
      <c r="B26" s="24" t="s">
        <v>1609</v>
      </c>
      <c r="C26" s="78" t="s">
        <v>1610</v>
      </c>
      <c r="D26" s="78" t="s">
        <v>1611</v>
      </c>
      <c r="E26" s="14">
        <v>244010</v>
      </c>
    </row>
    <row r="27" spans="1:5" ht="15.75" customHeight="1">
      <c r="A27" s="11"/>
      <c r="B27" s="17" t="s">
        <v>1612</v>
      </c>
      <c r="C27" s="78" t="s">
        <v>1613</v>
      </c>
      <c r="D27" s="78">
        <v>130</v>
      </c>
      <c r="E27" s="18">
        <v>140000</v>
      </c>
    </row>
    <row r="28" spans="1:5" ht="15.75" customHeight="1">
      <c r="A28" s="11"/>
      <c r="B28" s="17" t="s">
        <v>1614</v>
      </c>
      <c r="C28" s="78" t="s">
        <v>81</v>
      </c>
      <c r="D28" s="78">
        <v>1043</v>
      </c>
      <c r="E28" s="18">
        <v>31750</v>
      </c>
    </row>
    <row r="29" spans="1:5" ht="15.75" customHeight="1">
      <c r="A29" s="11"/>
      <c r="B29" s="17" t="s">
        <v>1615</v>
      </c>
      <c r="C29" s="13" t="s">
        <v>378</v>
      </c>
      <c r="D29" s="78">
        <v>2510</v>
      </c>
      <c r="E29" s="18">
        <v>3700</v>
      </c>
    </row>
    <row r="30" spans="1:5" ht="15.75" customHeight="1">
      <c r="A30" s="11"/>
      <c r="B30" s="17" t="s">
        <v>1616</v>
      </c>
      <c r="C30" s="13" t="s">
        <v>455</v>
      </c>
      <c r="D30" s="78" t="s">
        <v>1617</v>
      </c>
      <c r="E30" s="18">
        <v>26000</v>
      </c>
    </row>
    <row r="31" spans="1:5" ht="15.75" customHeight="1">
      <c r="A31" s="8" t="s">
        <v>24</v>
      </c>
      <c r="B31" s="203"/>
      <c r="C31" s="204"/>
      <c r="D31" s="205"/>
      <c r="E31" s="49">
        <f>SUM(E12:E30)</f>
        <v>6994234.5</v>
      </c>
    </row>
    <row r="32" spans="1:5" ht="15.75" customHeight="1">
      <c r="A32" s="198"/>
      <c r="B32" s="196"/>
      <c r="C32" s="196"/>
      <c r="D32" s="196"/>
      <c r="E32" s="196"/>
    </row>
    <row r="33" spans="1:5" ht="15.75" customHeight="1">
      <c r="A33" s="198" t="s">
        <v>1618</v>
      </c>
      <c r="B33" s="196"/>
      <c r="C33" s="196"/>
      <c r="D33" s="196"/>
      <c r="E33" s="27">
        <f>IF(E31&gt;=10000000,5000000*2%+5000000*1%+(E31-10000000)*0.5%,IF(E31&gt;=5000000,5000000*2%+(E31-5000000)*1%,E31*2%))</f>
        <v>119942.345</v>
      </c>
    </row>
    <row r="34" spans="1:5" ht="14.25" customHeight="1">
      <c r="A34" s="198" t="s">
        <v>25</v>
      </c>
      <c r="B34" s="196"/>
      <c r="C34" s="196"/>
      <c r="D34" s="196"/>
      <c r="E34" s="196"/>
    </row>
    <row r="35" spans="1:5" ht="35.25" customHeight="1">
      <c r="A35" s="198"/>
      <c r="B35" s="196"/>
      <c r="C35" s="196"/>
      <c r="D35" s="196"/>
      <c r="E35" s="196"/>
    </row>
    <row r="36" spans="1:5" ht="15.75" customHeight="1">
      <c r="A36" s="198" t="s">
        <v>26</v>
      </c>
      <c r="B36" s="196"/>
      <c r="C36" s="196"/>
      <c r="D36" s="196"/>
      <c r="E36" s="196"/>
    </row>
    <row r="37" spans="1:5" ht="15.75" customHeight="1">
      <c r="A37" s="198" t="s">
        <v>27</v>
      </c>
      <c r="B37" s="196"/>
      <c r="C37" s="196"/>
      <c r="D37" s="196"/>
      <c r="E37" s="196"/>
    </row>
    <row r="38" spans="1:5" ht="15.75" customHeight="1">
      <c r="A38" s="198" t="s">
        <v>28</v>
      </c>
      <c r="B38" s="196"/>
      <c r="C38" s="196"/>
      <c r="D38" s="196"/>
      <c r="E38" s="196"/>
    </row>
  </sheetData>
  <mergeCells count="18">
    <mergeCell ref="A38:E38"/>
    <mergeCell ref="A8:E8"/>
    <mergeCell ref="A9:E9"/>
    <mergeCell ref="A10:E10"/>
    <mergeCell ref="B31:D31"/>
    <mergeCell ref="A32:E32"/>
    <mergeCell ref="A33:D33"/>
    <mergeCell ref="A34:E34"/>
    <mergeCell ref="A6:E6"/>
    <mergeCell ref="A7:E7"/>
    <mergeCell ref="A35:E35"/>
    <mergeCell ref="A36:E36"/>
    <mergeCell ref="A37:E37"/>
    <mergeCell ref="A1:E1"/>
    <mergeCell ref="A2:E2"/>
    <mergeCell ref="A3:E3"/>
    <mergeCell ref="A4:E4"/>
    <mergeCell ref="A5:E5"/>
  </mergeCells>
  <conditionalFormatting sqref="E12:E30">
    <cfRule type="notContainsBlanks" dxfId="49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  <pageSetUpPr fitToPage="1"/>
  </sheetPr>
  <dimension ref="A1:E34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1540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1619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"/>
      <c r="B12" s="17" t="s">
        <v>1578</v>
      </c>
      <c r="C12" s="78" t="s">
        <v>1579</v>
      </c>
      <c r="D12" s="98">
        <v>70</v>
      </c>
      <c r="E12" s="18">
        <v>1020000</v>
      </c>
    </row>
    <row r="13" spans="1:5" ht="15.75" customHeight="1">
      <c r="A13" s="11"/>
      <c r="B13" s="24" t="s">
        <v>1586</v>
      </c>
      <c r="C13" s="13" t="s">
        <v>1587</v>
      </c>
      <c r="D13" s="98">
        <v>13</v>
      </c>
      <c r="E13" s="14">
        <v>311483</v>
      </c>
    </row>
    <row r="14" spans="1:5" ht="15.75" customHeight="1">
      <c r="A14" s="11"/>
      <c r="B14" s="17" t="s">
        <v>1588</v>
      </c>
      <c r="C14" s="13" t="s">
        <v>1589</v>
      </c>
      <c r="D14" s="98">
        <v>37</v>
      </c>
      <c r="E14" s="18">
        <v>36005.599999999999</v>
      </c>
    </row>
    <row r="15" spans="1:5" ht="15.75" customHeight="1">
      <c r="A15" s="11"/>
      <c r="B15" s="17" t="s">
        <v>1591</v>
      </c>
      <c r="C15" s="13" t="s">
        <v>56</v>
      </c>
      <c r="D15" s="98">
        <v>378</v>
      </c>
      <c r="E15" s="18">
        <v>17000</v>
      </c>
    </row>
    <row r="16" spans="1:5" ht="15.75" customHeight="1">
      <c r="A16" s="11"/>
      <c r="B16" s="17" t="s">
        <v>1592</v>
      </c>
      <c r="C16" s="13" t="s">
        <v>1593</v>
      </c>
      <c r="D16" s="78">
        <v>152</v>
      </c>
      <c r="E16" s="18">
        <v>7920</v>
      </c>
    </row>
    <row r="17" spans="1:5" ht="15.75" customHeight="1">
      <c r="A17" s="11"/>
      <c r="B17" s="17" t="s">
        <v>1594</v>
      </c>
      <c r="C17" s="78" t="s">
        <v>910</v>
      </c>
      <c r="D17" s="78" t="s">
        <v>1595</v>
      </c>
      <c r="E17" s="18">
        <v>4287</v>
      </c>
    </row>
    <row r="18" spans="1:5" ht="15.75" customHeight="1">
      <c r="A18" s="11"/>
      <c r="B18" s="17" t="s">
        <v>1596</v>
      </c>
      <c r="C18" s="78" t="s">
        <v>81</v>
      </c>
      <c r="D18" s="98" t="s">
        <v>1597</v>
      </c>
      <c r="E18" s="18">
        <v>10120</v>
      </c>
    </row>
    <row r="19" spans="1:5" ht="15.75" customHeight="1">
      <c r="A19" s="11"/>
      <c r="B19" s="17" t="s">
        <v>1598</v>
      </c>
      <c r="C19" s="13" t="s">
        <v>1599</v>
      </c>
      <c r="D19" s="98">
        <v>420</v>
      </c>
      <c r="E19" s="18">
        <v>38500</v>
      </c>
    </row>
    <row r="20" spans="1:5" ht="15.75" customHeight="1">
      <c r="A20" s="11"/>
      <c r="B20" s="17" t="s">
        <v>1600</v>
      </c>
      <c r="C20" s="13" t="s">
        <v>218</v>
      </c>
      <c r="D20" s="98">
        <v>493</v>
      </c>
      <c r="E20" s="18">
        <v>178000</v>
      </c>
    </row>
    <row r="21" spans="1:5" ht="15.75" customHeight="1">
      <c r="A21" s="11"/>
      <c r="B21" s="17" t="s">
        <v>1601</v>
      </c>
      <c r="C21" s="13" t="s">
        <v>1602</v>
      </c>
      <c r="D21" s="98">
        <v>911</v>
      </c>
      <c r="E21" s="18">
        <v>68500</v>
      </c>
    </row>
    <row r="22" spans="1:5" ht="15.75" customHeight="1">
      <c r="A22" s="11"/>
      <c r="B22" s="24" t="s">
        <v>1607</v>
      </c>
      <c r="C22" s="13" t="s">
        <v>1608</v>
      </c>
      <c r="D22" s="78">
        <v>4352</v>
      </c>
      <c r="E22" s="14">
        <v>4355</v>
      </c>
    </row>
    <row r="23" spans="1:5" ht="15.75" customHeight="1">
      <c r="A23" s="11"/>
      <c r="B23" s="24" t="s">
        <v>1609</v>
      </c>
      <c r="C23" s="78" t="s">
        <v>1610</v>
      </c>
      <c r="D23" s="78" t="s">
        <v>1611</v>
      </c>
      <c r="E23" s="14">
        <v>244010</v>
      </c>
    </row>
    <row r="24" spans="1:5" ht="15.75" customHeight="1">
      <c r="A24" s="11"/>
      <c r="B24" s="17" t="s">
        <v>1612</v>
      </c>
      <c r="C24" s="78" t="s">
        <v>1613</v>
      </c>
      <c r="D24" s="78">
        <v>130</v>
      </c>
      <c r="E24" s="18">
        <v>140000</v>
      </c>
    </row>
    <row r="25" spans="1:5" ht="15.75" customHeight="1">
      <c r="A25" s="11"/>
      <c r="B25" s="17" t="s">
        <v>1614</v>
      </c>
      <c r="C25" s="78" t="s">
        <v>81</v>
      </c>
      <c r="D25" s="78">
        <v>1043</v>
      </c>
      <c r="E25" s="18">
        <v>31750</v>
      </c>
    </row>
    <row r="26" spans="1:5" ht="15.75" customHeight="1">
      <c r="A26" s="11"/>
      <c r="B26" s="17" t="s">
        <v>1616</v>
      </c>
      <c r="C26" s="13" t="s">
        <v>455</v>
      </c>
      <c r="D26" s="78" t="s">
        <v>1617</v>
      </c>
      <c r="E26" s="18">
        <v>26000</v>
      </c>
    </row>
    <row r="27" spans="1:5" ht="15.75" customHeight="1">
      <c r="A27" s="8" t="s">
        <v>24</v>
      </c>
      <c r="B27" s="203"/>
      <c r="C27" s="204"/>
      <c r="D27" s="205"/>
      <c r="E27" s="49">
        <f>SUM(E12:E26)</f>
        <v>2137930.6</v>
      </c>
    </row>
    <row r="28" spans="1:5" ht="15.75" customHeight="1">
      <c r="A28" s="198"/>
      <c r="B28" s="196"/>
      <c r="C28" s="196"/>
      <c r="D28" s="196"/>
      <c r="E28" s="196"/>
    </row>
    <row r="29" spans="1:5" ht="15.75" customHeight="1">
      <c r="A29" s="198" t="s">
        <v>1620</v>
      </c>
      <c r="B29" s="196"/>
      <c r="C29" s="196"/>
      <c r="D29" s="196"/>
      <c r="E29" s="27">
        <f>E27*8%</f>
        <v>171034.448</v>
      </c>
    </row>
    <row r="30" spans="1:5" ht="14.25" customHeight="1">
      <c r="A30" s="198" t="s">
        <v>25</v>
      </c>
      <c r="B30" s="196"/>
      <c r="C30" s="196"/>
      <c r="D30" s="196"/>
      <c r="E30" s="196"/>
    </row>
    <row r="31" spans="1:5" ht="35.25" customHeight="1">
      <c r="A31" s="198"/>
      <c r="B31" s="196"/>
      <c r="C31" s="196"/>
      <c r="D31" s="196"/>
      <c r="E31" s="196"/>
    </row>
    <row r="32" spans="1:5" ht="15.75" customHeight="1">
      <c r="A32" s="198" t="s">
        <v>26</v>
      </c>
      <c r="B32" s="196"/>
      <c r="C32" s="196"/>
      <c r="D32" s="196"/>
      <c r="E32" s="196"/>
    </row>
    <row r="33" spans="1:5" ht="15.75" customHeight="1">
      <c r="A33" s="198" t="s">
        <v>27</v>
      </c>
      <c r="B33" s="196"/>
      <c r="C33" s="196"/>
      <c r="D33" s="196"/>
      <c r="E33" s="196"/>
    </row>
    <row r="34" spans="1:5" ht="15.75" customHeight="1">
      <c r="A34" s="198" t="s">
        <v>28</v>
      </c>
      <c r="B34" s="196"/>
      <c r="C34" s="196"/>
      <c r="D34" s="196"/>
      <c r="E34" s="196"/>
    </row>
  </sheetData>
  <mergeCells count="18">
    <mergeCell ref="A34:E34"/>
    <mergeCell ref="A8:E8"/>
    <mergeCell ref="A9:E9"/>
    <mergeCell ref="A10:E10"/>
    <mergeCell ref="B27:D27"/>
    <mergeCell ref="A28:E28"/>
    <mergeCell ref="A29:D29"/>
    <mergeCell ref="A30:E30"/>
    <mergeCell ref="A6:E6"/>
    <mergeCell ref="A7:E7"/>
    <mergeCell ref="A31:E31"/>
    <mergeCell ref="A32:E32"/>
    <mergeCell ref="A33:E33"/>
    <mergeCell ref="A1:E1"/>
    <mergeCell ref="A2:E2"/>
    <mergeCell ref="A3:E3"/>
    <mergeCell ref="A4:E4"/>
    <mergeCell ref="A5:E5"/>
  </mergeCells>
  <conditionalFormatting sqref="E12:E26">
    <cfRule type="notContainsBlanks" dxfId="48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  <pageSetUpPr fitToPage="1"/>
  </sheetPr>
  <dimension ref="A1:E43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615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1621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"/>
      <c r="B12" s="112" t="s">
        <v>1622</v>
      </c>
      <c r="C12" s="113" t="s">
        <v>1623</v>
      </c>
      <c r="D12" s="113">
        <v>73</v>
      </c>
      <c r="E12" s="18">
        <v>678417.24</v>
      </c>
    </row>
    <row r="13" spans="1:5" ht="15.75" customHeight="1">
      <c r="A13" s="11"/>
      <c r="B13" s="24" t="s">
        <v>1624</v>
      </c>
      <c r="C13" s="113" t="s">
        <v>1625</v>
      </c>
      <c r="D13" s="107">
        <v>332739</v>
      </c>
      <c r="E13" s="44">
        <v>20379.919999999998</v>
      </c>
    </row>
    <row r="14" spans="1:5" ht="15.75" customHeight="1">
      <c r="A14" s="11"/>
      <c r="B14" s="17" t="s">
        <v>1626</v>
      </c>
      <c r="C14" s="13" t="s">
        <v>1481</v>
      </c>
      <c r="D14" s="13" t="s">
        <v>1627</v>
      </c>
      <c r="E14" s="18">
        <v>852000</v>
      </c>
    </row>
    <row r="15" spans="1:5" ht="15.75" customHeight="1">
      <c r="A15" s="11"/>
      <c r="B15" s="92" t="s">
        <v>1628</v>
      </c>
      <c r="C15" s="78" t="s">
        <v>1629</v>
      </c>
      <c r="D15" s="98" t="s">
        <v>1630</v>
      </c>
      <c r="E15" s="18">
        <v>79560.14</v>
      </c>
    </row>
    <row r="16" spans="1:5" ht="15.75" customHeight="1">
      <c r="A16" s="11"/>
      <c r="B16" s="110" t="s">
        <v>1603</v>
      </c>
      <c r="C16" s="111" t="s">
        <v>1481</v>
      </c>
      <c r="D16" s="111" t="s">
        <v>1604</v>
      </c>
      <c r="E16" s="18">
        <v>733661.5</v>
      </c>
    </row>
    <row r="17" spans="1:5" ht="15.75" customHeight="1">
      <c r="A17" s="11"/>
      <c r="B17" s="110" t="s">
        <v>1605</v>
      </c>
      <c r="C17" s="111" t="s">
        <v>1481</v>
      </c>
      <c r="D17" s="111" t="s">
        <v>1606</v>
      </c>
      <c r="E17" s="18">
        <v>232320</v>
      </c>
    </row>
    <row r="18" spans="1:5" ht="15.75" customHeight="1">
      <c r="A18" s="11"/>
      <c r="B18" s="12" t="s">
        <v>1631</v>
      </c>
      <c r="C18" s="111" t="s">
        <v>1632</v>
      </c>
      <c r="D18" s="13">
        <v>7031</v>
      </c>
      <c r="E18" s="14">
        <v>9350.4599999999991</v>
      </c>
    </row>
    <row r="19" spans="1:5" ht="15.75" customHeight="1">
      <c r="A19" s="11"/>
      <c r="B19" s="17" t="s">
        <v>1633</v>
      </c>
      <c r="C19" s="78" t="s">
        <v>334</v>
      </c>
      <c r="D19" s="78">
        <v>148723844</v>
      </c>
      <c r="E19" s="18">
        <v>15700</v>
      </c>
    </row>
    <row r="20" spans="1:5" ht="15.75" customHeight="1">
      <c r="A20" s="11"/>
      <c r="B20" s="17" t="s">
        <v>1634</v>
      </c>
      <c r="C20" s="13" t="s">
        <v>334</v>
      </c>
      <c r="D20" s="78">
        <v>147712263</v>
      </c>
      <c r="E20" s="18">
        <v>11850</v>
      </c>
    </row>
    <row r="21" spans="1:5" ht="15.75" customHeight="1">
      <c r="A21" s="11"/>
      <c r="B21" s="24" t="s">
        <v>1635</v>
      </c>
      <c r="C21" s="42" t="s">
        <v>334</v>
      </c>
      <c r="D21" s="115">
        <v>146716117</v>
      </c>
      <c r="E21" s="44">
        <v>15154</v>
      </c>
    </row>
    <row r="22" spans="1:5" ht="15.75" customHeight="1">
      <c r="A22" s="11"/>
      <c r="B22" s="24" t="s">
        <v>1636</v>
      </c>
      <c r="C22" s="42" t="s">
        <v>1481</v>
      </c>
      <c r="D22" s="42" t="s">
        <v>1637</v>
      </c>
      <c r="E22" s="44">
        <v>171120</v>
      </c>
    </row>
    <row r="23" spans="1:5" ht="15.75" customHeight="1">
      <c r="A23" s="11"/>
      <c r="B23" s="17" t="s">
        <v>1638</v>
      </c>
      <c r="C23" s="13" t="s">
        <v>1639</v>
      </c>
      <c r="D23" s="98">
        <v>3830</v>
      </c>
      <c r="E23" s="18">
        <v>32000</v>
      </c>
    </row>
    <row r="24" spans="1:5" ht="15.75" customHeight="1">
      <c r="A24" s="11"/>
      <c r="B24" s="17" t="s">
        <v>1640</v>
      </c>
      <c r="C24" s="78" t="s">
        <v>1641</v>
      </c>
      <c r="D24" s="78">
        <v>1808</v>
      </c>
      <c r="E24" s="18">
        <v>23809</v>
      </c>
    </row>
    <row r="25" spans="1:5" ht="15.75" customHeight="1">
      <c r="A25" s="11"/>
      <c r="B25" s="17" t="s">
        <v>1642</v>
      </c>
      <c r="C25" s="78" t="s">
        <v>783</v>
      </c>
      <c r="D25" s="98" t="s">
        <v>1643</v>
      </c>
      <c r="E25" s="18">
        <v>17900</v>
      </c>
    </row>
    <row r="26" spans="1:5" ht="15" customHeight="1">
      <c r="A26" s="11"/>
      <c r="B26" s="24" t="s">
        <v>1644</v>
      </c>
      <c r="C26" s="13" t="s">
        <v>1573</v>
      </c>
      <c r="D26" s="78" t="s">
        <v>1645</v>
      </c>
      <c r="E26" s="14">
        <v>14630</v>
      </c>
    </row>
    <row r="27" spans="1:5" ht="15.75" customHeight="1">
      <c r="A27" s="11"/>
      <c r="B27" s="17" t="s">
        <v>1646</v>
      </c>
      <c r="C27" s="13" t="s">
        <v>472</v>
      </c>
      <c r="D27" s="98">
        <v>9117</v>
      </c>
      <c r="E27" s="18">
        <v>37900</v>
      </c>
    </row>
    <row r="28" spans="1:5" ht="15.75" customHeight="1">
      <c r="A28" s="11"/>
      <c r="B28" s="17" t="s">
        <v>1647</v>
      </c>
      <c r="C28" s="13" t="s">
        <v>1648</v>
      </c>
      <c r="D28" s="98">
        <v>3292</v>
      </c>
      <c r="E28" s="18">
        <v>256800</v>
      </c>
    </row>
    <row r="29" spans="1:5" ht="15.75" customHeight="1">
      <c r="A29" s="11"/>
      <c r="B29" s="17" t="s">
        <v>1649</v>
      </c>
      <c r="C29" s="78" t="s">
        <v>19</v>
      </c>
      <c r="D29" s="78" t="s">
        <v>1650</v>
      </c>
      <c r="E29" s="18">
        <v>6317.28</v>
      </c>
    </row>
    <row r="30" spans="1:5" ht="15.75" customHeight="1">
      <c r="A30" s="11"/>
      <c r="B30" s="17" t="s">
        <v>1651</v>
      </c>
      <c r="C30" s="13" t="s">
        <v>665</v>
      </c>
      <c r="D30" s="78" t="s">
        <v>1652</v>
      </c>
      <c r="E30" s="18">
        <v>4400</v>
      </c>
    </row>
    <row r="31" spans="1:5" ht="15.75" customHeight="1">
      <c r="A31" s="11"/>
      <c r="B31" s="24" t="s">
        <v>1653</v>
      </c>
      <c r="C31" s="78" t="s">
        <v>1654</v>
      </c>
      <c r="D31" s="78" t="s">
        <v>1655</v>
      </c>
      <c r="E31" s="14">
        <v>11148</v>
      </c>
    </row>
    <row r="32" spans="1:5" ht="15.75" customHeight="1">
      <c r="A32" s="11"/>
      <c r="B32" s="17" t="s">
        <v>1656</v>
      </c>
      <c r="C32" s="13" t="s">
        <v>1657</v>
      </c>
      <c r="D32" s="98" t="s">
        <v>1658</v>
      </c>
      <c r="E32" s="18">
        <v>15600</v>
      </c>
    </row>
    <row r="33" spans="1:5" ht="15.75" customHeight="1">
      <c r="A33" s="11"/>
      <c r="B33" s="17" t="s">
        <v>1659</v>
      </c>
      <c r="C33" s="13" t="s">
        <v>334</v>
      </c>
      <c r="D33" s="78">
        <v>151623811</v>
      </c>
      <c r="E33" s="18">
        <v>30491</v>
      </c>
    </row>
    <row r="34" spans="1:5" ht="15.75" customHeight="1">
      <c r="A34" s="11"/>
      <c r="B34" s="17" t="s">
        <v>1660</v>
      </c>
      <c r="C34" s="13" t="s">
        <v>334</v>
      </c>
      <c r="D34" s="78">
        <v>151625703</v>
      </c>
      <c r="E34" s="18">
        <v>14011</v>
      </c>
    </row>
    <row r="35" spans="1:5" ht="15.75" customHeight="1">
      <c r="A35" s="11"/>
      <c r="B35" s="17" t="s">
        <v>1661</v>
      </c>
      <c r="C35" s="13" t="s">
        <v>334</v>
      </c>
      <c r="D35" s="78">
        <v>151753551</v>
      </c>
      <c r="E35" s="18">
        <v>10600</v>
      </c>
    </row>
    <row r="36" spans="1:5" ht="15.75" customHeight="1">
      <c r="A36" s="8" t="s">
        <v>24</v>
      </c>
      <c r="B36" s="203"/>
      <c r="C36" s="204"/>
      <c r="D36" s="205"/>
      <c r="E36" s="49">
        <f>SUM(E12:E35)</f>
        <v>3295119.5399999996</v>
      </c>
    </row>
    <row r="37" spans="1:5" ht="15.75" customHeight="1">
      <c r="A37" s="198"/>
      <c r="B37" s="196"/>
      <c r="C37" s="196"/>
      <c r="D37" s="196"/>
      <c r="E37" s="196"/>
    </row>
    <row r="38" spans="1:5" ht="15.75" customHeight="1">
      <c r="A38" s="198" t="s">
        <v>1662</v>
      </c>
      <c r="B38" s="196"/>
      <c r="C38" s="196"/>
      <c r="D38" s="196"/>
      <c r="E38" s="27">
        <f>IF(E36&gt;=10000000,5000000*2%+5000000*1%+(E36-10000000)*0.5%,IF(E36&gt;=5000000,5000000*2%+(E36-5000000)*1%,E36*2%))</f>
        <v>65902.390799999994</v>
      </c>
    </row>
    <row r="39" spans="1:5" ht="14.25" customHeight="1">
      <c r="A39" s="198" t="s">
        <v>25</v>
      </c>
      <c r="B39" s="196"/>
      <c r="C39" s="196"/>
      <c r="D39" s="196"/>
      <c r="E39" s="196"/>
    </row>
    <row r="40" spans="1:5" ht="35.25" customHeight="1">
      <c r="A40" s="198"/>
      <c r="B40" s="196"/>
      <c r="C40" s="196"/>
      <c r="D40" s="196"/>
      <c r="E40" s="196"/>
    </row>
    <row r="41" spans="1:5" ht="15.75" customHeight="1">
      <c r="A41" s="198" t="s">
        <v>26</v>
      </c>
      <c r="B41" s="196"/>
      <c r="C41" s="196"/>
      <c r="D41" s="196"/>
      <c r="E41" s="196"/>
    </row>
    <row r="42" spans="1:5" ht="15.75" customHeight="1">
      <c r="A42" s="198" t="s">
        <v>27</v>
      </c>
      <c r="B42" s="196"/>
      <c r="C42" s="196"/>
      <c r="D42" s="196"/>
      <c r="E42" s="196"/>
    </row>
    <row r="43" spans="1:5" ht="15.75" customHeight="1">
      <c r="A43" s="198" t="s">
        <v>28</v>
      </c>
      <c r="B43" s="196"/>
      <c r="C43" s="196"/>
      <c r="D43" s="196"/>
      <c r="E43" s="196"/>
    </row>
  </sheetData>
  <mergeCells count="18">
    <mergeCell ref="A43:E43"/>
    <mergeCell ref="A8:E8"/>
    <mergeCell ref="A9:E9"/>
    <mergeCell ref="A10:E10"/>
    <mergeCell ref="B36:D36"/>
    <mergeCell ref="A37:E37"/>
    <mergeCell ref="A38:D38"/>
    <mergeCell ref="A39:E39"/>
    <mergeCell ref="A6:E6"/>
    <mergeCell ref="A7:E7"/>
    <mergeCell ref="A40:E40"/>
    <mergeCell ref="A41:E41"/>
    <mergeCell ref="A42:E42"/>
    <mergeCell ref="A1:E1"/>
    <mergeCell ref="A2:E2"/>
    <mergeCell ref="A3:E3"/>
    <mergeCell ref="A4:E4"/>
    <mergeCell ref="A5:E5"/>
  </mergeCells>
  <conditionalFormatting sqref="E12:E35">
    <cfRule type="notContainsBlanks" dxfId="47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  <pageSetUpPr fitToPage="1"/>
  </sheetPr>
  <dimension ref="A1:E36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1540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1663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06" t="s">
        <v>1209</v>
      </c>
      <c r="B12" s="24" t="s">
        <v>1624</v>
      </c>
      <c r="C12" s="113" t="s">
        <v>1625</v>
      </c>
      <c r="D12" s="107">
        <v>332739</v>
      </c>
      <c r="E12" s="44">
        <v>20379.919999999998</v>
      </c>
    </row>
    <row r="13" spans="1:5" ht="15.75" customHeight="1">
      <c r="A13" s="106" t="s">
        <v>1212</v>
      </c>
      <c r="B13" s="17" t="s">
        <v>1626</v>
      </c>
      <c r="C13" s="13" t="s">
        <v>1481</v>
      </c>
      <c r="D13" s="13" t="s">
        <v>1627</v>
      </c>
      <c r="E13" s="18">
        <v>852000</v>
      </c>
    </row>
    <row r="14" spans="1:5" ht="15.75" customHeight="1">
      <c r="A14" s="106" t="s">
        <v>1215</v>
      </c>
      <c r="B14" s="92" t="s">
        <v>1628</v>
      </c>
      <c r="C14" s="78" t="s">
        <v>1629</v>
      </c>
      <c r="D14" s="98" t="s">
        <v>1630</v>
      </c>
      <c r="E14" s="18">
        <v>79560.14</v>
      </c>
    </row>
    <row r="15" spans="1:5" ht="15.75" customHeight="1">
      <c r="A15" s="106" t="s">
        <v>1217</v>
      </c>
      <c r="B15" s="12" t="s">
        <v>1631</v>
      </c>
      <c r="C15" s="111" t="s">
        <v>1632</v>
      </c>
      <c r="D15" s="13">
        <v>7031</v>
      </c>
      <c r="E15" s="14">
        <v>9350.4599999999991</v>
      </c>
    </row>
    <row r="16" spans="1:5" ht="15.75" customHeight="1">
      <c r="A16" s="106" t="s">
        <v>1221</v>
      </c>
      <c r="B16" s="17" t="s">
        <v>1633</v>
      </c>
      <c r="C16" s="78" t="s">
        <v>334</v>
      </c>
      <c r="D16" s="78">
        <v>148723844</v>
      </c>
      <c r="E16" s="18">
        <v>15700</v>
      </c>
    </row>
    <row r="17" spans="1:5" ht="15.75" customHeight="1">
      <c r="A17" s="106" t="s">
        <v>1224</v>
      </c>
      <c r="B17" s="17" t="s">
        <v>1634</v>
      </c>
      <c r="C17" s="13" t="s">
        <v>334</v>
      </c>
      <c r="D17" s="78">
        <v>147712263</v>
      </c>
      <c r="E17" s="18">
        <v>11850</v>
      </c>
    </row>
    <row r="18" spans="1:5" ht="15.75" customHeight="1">
      <c r="A18" s="106" t="s">
        <v>1226</v>
      </c>
      <c r="B18" s="24" t="s">
        <v>1635</v>
      </c>
      <c r="C18" s="42" t="s">
        <v>334</v>
      </c>
      <c r="D18" s="115">
        <v>146716117</v>
      </c>
      <c r="E18" s="44">
        <v>15154</v>
      </c>
    </row>
    <row r="19" spans="1:5" ht="15.75" customHeight="1">
      <c r="A19" s="106" t="s">
        <v>1228</v>
      </c>
      <c r="B19" s="17" t="s">
        <v>1640</v>
      </c>
      <c r="C19" s="78" t="s">
        <v>1641</v>
      </c>
      <c r="D19" s="78">
        <v>1808</v>
      </c>
      <c r="E19" s="18">
        <v>23809</v>
      </c>
    </row>
    <row r="20" spans="1:5" ht="15.75" customHeight="1">
      <c r="A20" s="106" t="s">
        <v>1230</v>
      </c>
      <c r="B20" s="17" t="s">
        <v>1642</v>
      </c>
      <c r="C20" s="78" t="s">
        <v>783</v>
      </c>
      <c r="D20" s="98" t="s">
        <v>1643</v>
      </c>
      <c r="E20" s="18">
        <v>17900</v>
      </c>
    </row>
    <row r="21" spans="1:5" ht="15" customHeight="1">
      <c r="A21" s="106" t="s">
        <v>1232</v>
      </c>
      <c r="B21" s="24" t="s">
        <v>1644</v>
      </c>
      <c r="C21" s="13" t="s">
        <v>1573</v>
      </c>
      <c r="D21" s="78" t="s">
        <v>1645</v>
      </c>
      <c r="E21" s="14">
        <v>14630</v>
      </c>
    </row>
    <row r="22" spans="1:5" ht="15.75" customHeight="1">
      <c r="A22" s="106" t="s">
        <v>1234</v>
      </c>
      <c r="B22" s="17" t="s">
        <v>1647</v>
      </c>
      <c r="C22" s="13" t="s">
        <v>1648</v>
      </c>
      <c r="D22" s="98">
        <v>3292</v>
      </c>
      <c r="E22" s="18">
        <v>256800</v>
      </c>
    </row>
    <row r="23" spans="1:5" ht="15.75" customHeight="1">
      <c r="A23" s="106" t="s">
        <v>1236</v>
      </c>
      <c r="B23" s="17" t="s">
        <v>1651</v>
      </c>
      <c r="C23" s="13" t="s">
        <v>665</v>
      </c>
      <c r="D23" s="78" t="s">
        <v>1652</v>
      </c>
      <c r="E23" s="18">
        <v>4400</v>
      </c>
    </row>
    <row r="24" spans="1:5" ht="15.75" customHeight="1">
      <c r="A24" s="106" t="s">
        <v>1240</v>
      </c>
      <c r="B24" s="24" t="s">
        <v>1653</v>
      </c>
      <c r="C24" s="78" t="s">
        <v>1654</v>
      </c>
      <c r="D24" s="78" t="s">
        <v>1655</v>
      </c>
      <c r="E24" s="14">
        <v>11148</v>
      </c>
    </row>
    <row r="25" spans="1:5" ht="15.75" customHeight="1">
      <c r="A25" s="106" t="s">
        <v>1242</v>
      </c>
      <c r="B25" s="17" t="s">
        <v>1656</v>
      </c>
      <c r="C25" s="13" t="s">
        <v>1657</v>
      </c>
      <c r="D25" s="98" t="s">
        <v>1658</v>
      </c>
      <c r="E25" s="18">
        <v>15600</v>
      </c>
    </row>
    <row r="26" spans="1:5" ht="15.75" customHeight="1">
      <c r="A26" s="106" t="s">
        <v>1245</v>
      </c>
      <c r="B26" s="17" t="s">
        <v>1659</v>
      </c>
      <c r="C26" s="13" t="s">
        <v>334</v>
      </c>
      <c r="D26" s="78">
        <v>151623811</v>
      </c>
      <c r="E26" s="18">
        <v>30325.1</v>
      </c>
    </row>
    <row r="27" spans="1:5" ht="15.75" customHeight="1">
      <c r="A27" s="106" t="s">
        <v>1247</v>
      </c>
      <c r="B27" s="17" t="s">
        <v>1660</v>
      </c>
      <c r="C27" s="13" t="s">
        <v>334</v>
      </c>
      <c r="D27" s="78">
        <v>151625703</v>
      </c>
      <c r="E27" s="18">
        <v>14011</v>
      </c>
    </row>
    <row r="28" spans="1:5" ht="15.75" customHeight="1">
      <c r="A28" s="106" t="s">
        <v>1249</v>
      </c>
      <c r="B28" s="17" t="s">
        <v>1661</v>
      </c>
      <c r="C28" s="13" t="s">
        <v>334</v>
      </c>
      <c r="D28" s="78">
        <v>151753551</v>
      </c>
      <c r="E28" s="18">
        <v>10600</v>
      </c>
    </row>
    <row r="29" spans="1:5" ht="15.75" customHeight="1">
      <c r="A29" s="8" t="s">
        <v>24</v>
      </c>
      <c r="B29" s="203"/>
      <c r="C29" s="204"/>
      <c r="D29" s="205"/>
      <c r="E29" s="49">
        <f>SUM(E12:E28)</f>
        <v>1403217.62</v>
      </c>
    </row>
    <row r="30" spans="1:5" ht="15.75" customHeight="1">
      <c r="A30" s="198"/>
      <c r="B30" s="196"/>
      <c r="C30" s="196"/>
      <c r="D30" s="196"/>
      <c r="E30" s="196"/>
    </row>
    <row r="31" spans="1:5" ht="15.75" customHeight="1">
      <c r="A31" s="198" t="s">
        <v>1664</v>
      </c>
      <c r="B31" s="196"/>
      <c r="C31" s="196"/>
      <c r="D31" s="196"/>
      <c r="E31" s="27">
        <f>E29*8%</f>
        <v>112257.40960000001</v>
      </c>
    </row>
    <row r="32" spans="1:5" ht="14.25" customHeight="1">
      <c r="A32" s="198" t="s">
        <v>25</v>
      </c>
      <c r="B32" s="196"/>
      <c r="C32" s="196"/>
      <c r="D32" s="196"/>
      <c r="E32" s="196"/>
    </row>
    <row r="33" spans="1:5" ht="35.25" customHeight="1">
      <c r="A33" s="198"/>
      <c r="B33" s="196"/>
      <c r="C33" s="196"/>
      <c r="D33" s="196"/>
      <c r="E33" s="196"/>
    </row>
    <row r="34" spans="1:5" ht="15.75" customHeight="1">
      <c r="A34" s="198" t="s">
        <v>26</v>
      </c>
      <c r="B34" s="196"/>
      <c r="C34" s="196"/>
      <c r="D34" s="196"/>
      <c r="E34" s="196"/>
    </row>
    <row r="35" spans="1:5" ht="15.75" customHeight="1">
      <c r="A35" s="198" t="s">
        <v>27</v>
      </c>
      <c r="B35" s="196"/>
      <c r="C35" s="196"/>
      <c r="D35" s="196"/>
      <c r="E35" s="196"/>
    </row>
    <row r="36" spans="1:5" ht="15.75" customHeight="1">
      <c r="A36" s="198" t="s">
        <v>28</v>
      </c>
      <c r="B36" s="196"/>
      <c r="C36" s="196"/>
      <c r="D36" s="196"/>
      <c r="E36" s="196"/>
    </row>
  </sheetData>
  <mergeCells count="18">
    <mergeCell ref="A36:E36"/>
    <mergeCell ref="A8:E8"/>
    <mergeCell ref="A9:E9"/>
    <mergeCell ref="A10:E10"/>
    <mergeCell ref="B29:D29"/>
    <mergeCell ref="A30:E30"/>
    <mergeCell ref="A31:D31"/>
    <mergeCell ref="A32:E32"/>
    <mergeCell ref="A6:E6"/>
    <mergeCell ref="A7:E7"/>
    <mergeCell ref="A33:E33"/>
    <mergeCell ref="A34:E34"/>
    <mergeCell ref="A35:E35"/>
    <mergeCell ref="A1:E1"/>
    <mergeCell ref="A2:E2"/>
    <mergeCell ref="A3:E3"/>
    <mergeCell ref="A4:E4"/>
    <mergeCell ref="A5:E5"/>
  </mergeCells>
  <conditionalFormatting sqref="E12:E28">
    <cfRule type="notContainsBlanks" dxfId="46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  <pageSetUpPr fitToPage="1"/>
  </sheetPr>
  <dimension ref="A1:E34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615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1665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6"/>
      <c r="B12" s="117" t="s">
        <v>1666</v>
      </c>
      <c r="C12" s="118" t="s">
        <v>329</v>
      </c>
      <c r="D12" s="118" t="s">
        <v>1667</v>
      </c>
      <c r="E12" s="119">
        <v>111255.28</v>
      </c>
    </row>
    <row r="13" spans="1:5" ht="15.75" customHeight="1">
      <c r="A13" s="116"/>
      <c r="B13" s="120" t="s">
        <v>1668</v>
      </c>
      <c r="C13" s="121" t="s">
        <v>1669</v>
      </c>
      <c r="D13" s="122">
        <v>948</v>
      </c>
      <c r="E13" s="123">
        <v>36400</v>
      </c>
    </row>
    <row r="14" spans="1:5" ht="15.75" customHeight="1">
      <c r="A14" s="116"/>
      <c r="B14" s="124" t="s">
        <v>1670</v>
      </c>
      <c r="C14" s="125" t="s">
        <v>582</v>
      </c>
      <c r="D14" s="126" t="s">
        <v>1671</v>
      </c>
      <c r="E14" s="119">
        <v>3793.32</v>
      </c>
    </row>
    <row r="15" spans="1:5" ht="15.75" customHeight="1">
      <c r="A15" s="116"/>
      <c r="B15" s="124" t="s">
        <v>1672</v>
      </c>
      <c r="C15" s="122" t="s">
        <v>1673</v>
      </c>
      <c r="D15" s="122">
        <v>69150</v>
      </c>
      <c r="E15" s="119">
        <v>3199.88</v>
      </c>
    </row>
    <row r="16" spans="1:5" ht="15.75" customHeight="1">
      <c r="A16" s="116"/>
      <c r="B16" s="127" t="s">
        <v>1674</v>
      </c>
      <c r="C16" s="125" t="s">
        <v>71</v>
      </c>
      <c r="D16" s="126">
        <v>7721047</v>
      </c>
      <c r="E16" s="119">
        <v>13199</v>
      </c>
    </row>
    <row r="17" spans="1:5" ht="15.75" customHeight="1">
      <c r="A17" s="116"/>
      <c r="B17" s="128" t="s">
        <v>1675</v>
      </c>
      <c r="C17" s="129" t="s">
        <v>629</v>
      </c>
      <c r="D17" s="130" t="s">
        <v>1676</v>
      </c>
      <c r="E17" s="131">
        <v>16600</v>
      </c>
    </row>
    <row r="18" spans="1:5" ht="15.75" customHeight="1">
      <c r="A18" s="116"/>
      <c r="B18" s="124" t="s">
        <v>1677</v>
      </c>
      <c r="C18" s="122" t="s">
        <v>1321</v>
      </c>
      <c r="D18" s="125">
        <v>7625</v>
      </c>
      <c r="E18" s="119">
        <v>4249.18</v>
      </c>
    </row>
    <row r="19" spans="1:5" ht="15.75" customHeight="1">
      <c r="A19" s="116"/>
      <c r="B19" s="124" t="s">
        <v>1678</v>
      </c>
      <c r="C19" s="125" t="s">
        <v>1679</v>
      </c>
      <c r="D19" s="125" t="s">
        <v>1680</v>
      </c>
      <c r="E19" s="119">
        <v>160656.4</v>
      </c>
    </row>
    <row r="20" spans="1:5" ht="15.75" customHeight="1">
      <c r="A20" s="116"/>
      <c r="B20" s="127" t="s">
        <v>1681</v>
      </c>
      <c r="C20" s="125" t="s">
        <v>582</v>
      </c>
      <c r="D20" s="126" t="s">
        <v>1682</v>
      </c>
      <c r="E20" s="119">
        <v>96505.08</v>
      </c>
    </row>
    <row r="21" spans="1:5" ht="15.75" customHeight="1">
      <c r="A21" s="116"/>
      <c r="B21" s="124" t="s">
        <v>1683</v>
      </c>
      <c r="C21" s="125" t="s">
        <v>218</v>
      </c>
      <c r="D21" s="125">
        <v>566</v>
      </c>
      <c r="E21" s="119">
        <v>455900</v>
      </c>
    </row>
    <row r="22" spans="1:5" ht="15.75" customHeight="1">
      <c r="A22" s="116"/>
      <c r="B22" s="124" t="s">
        <v>1684</v>
      </c>
      <c r="C22" s="122" t="s">
        <v>15</v>
      </c>
      <c r="D22" s="126" t="s">
        <v>1685</v>
      </c>
      <c r="E22" s="119">
        <v>23478.43</v>
      </c>
    </row>
    <row r="23" spans="1:5" ht="15.75" customHeight="1">
      <c r="A23" s="116"/>
      <c r="B23" s="124" t="s">
        <v>1686</v>
      </c>
      <c r="C23" s="122" t="s">
        <v>51</v>
      </c>
      <c r="D23" s="126" t="s">
        <v>1687</v>
      </c>
      <c r="E23" s="119">
        <v>4094.85</v>
      </c>
    </row>
    <row r="24" spans="1:5" ht="15.75" customHeight="1">
      <c r="A24" s="116"/>
      <c r="B24" s="124" t="s">
        <v>753</v>
      </c>
      <c r="C24" s="125" t="s">
        <v>472</v>
      </c>
      <c r="D24" s="125">
        <v>10099</v>
      </c>
      <c r="E24" s="119">
        <v>6400</v>
      </c>
    </row>
    <row r="25" spans="1:5" ht="15.75" customHeight="1">
      <c r="A25" s="116"/>
      <c r="B25" s="124" t="s">
        <v>1688</v>
      </c>
      <c r="C25" s="122" t="s">
        <v>828</v>
      </c>
      <c r="D25" s="126" t="s">
        <v>1689</v>
      </c>
      <c r="E25" s="119">
        <v>105500</v>
      </c>
    </row>
    <row r="26" spans="1:5" ht="15.75" customHeight="1">
      <c r="A26" s="116"/>
      <c r="B26" s="124" t="s">
        <v>1690</v>
      </c>
      <c r="C26" s="122" t="s">
        <v>1691</v>
      </c>
      <c r="D26" s="126">
        <v>737</v>
      </c>
      <c r="E26" s="119">
        <v>953383.5</v>
      </c>
    </row>
    <row r="27" spans="1:5" ht="15.75" customHeight="1">
      <c r="A27" s="8" t="s">
        <v>24</v>
      </c>
      <c r="B27" s="203"/>
      <c r="C27" s="204"/>
      <c r="D27" s="205"/>
      <c r="E27" s="49">
        <f>SUM(E12:E26)</f>
        <v>1994614.92</v>
      </c>
    </row>
    <row r="28" spans="1:5" ht="15.75" customHeight="1">
      <c r="A28" s="198"/>
      <c r="B28" s="196"/>
      <c r="C28" s="196"/>
      <c r="D28" s="196"/>
      <c r="E28" s="196"/>
    </row>
    <row r="29" spans="1:5" ht="15.75" customHeight="1">
      <c r="A29" s="198" t="s">
        <v>1692</v>
      </c>
      <c r="B29" s="196"/>
      <c r="C29" s="196"/>
      <c r="D29" s="196"/>
      <c r="E29" s="27">
        <f>IF(E27&gt;=10000000,5000000*2%+5000000*1%+(E27-10000000)*0.5%,IF(E27&gt;=5000000,5000000*2%+(E27-5000000)*1%,E27*2%))</f>
        <v>39892.2984</v>
      </c>
    </row>
    <row r="30" spans="1:5" ht="14.25" customHeight="1">
      <c r="A30" s="198" t="s">
        <v>25</v>
      </c>
      <c r="B30" s="196"/>
      <c r="C30" s="196"/>
      <c r="D30" s="196"/>
      <c r="E30" s="196"/>
    </row>
    <row r="31" spans="1:5" ht="35.25" customHeight="1">
      <c r="A31" s="198"/>
      <c r="B31" s="196"/>
      <c r="C31" s="196"/>
      <c r="D31" s="196"/>
      <c r="E31" s="196"/>
    </row>
    <row r="32" spans="1:5" ht="15.75" customHeight="1">
      <c r="A32" s="198" t="s">
        <v>26</v>
      </c>
      <c r="B32" s="196"/>
      <c r="C32" s="196"/>
      <c r="D32" s="196"/>
      <c r="E32" s="196"/>
    </row>
    <row r="33" spans="1:5" ht="15.75" customHeight="1">
      <c r="A33" s="198" t="s">
        <v>27</v>
      </c>
      <c r="B33" s="196"/>
      <c r="C33" s="196"/>
      <c r="D33" s="196"/>
      <c r="E33" s="196"/>
    </row>
    <row r="34" spans="1:5" ht="15.75" customHeight="1">
      <c r="A34" s="198" t="s">
        <v>28</v>
      </c>
      <c r="B34" s="196"/>
      <c r="C34" s="196"/>
      <c r="D34" s="196"/>
      <c r="E34" s="196"/>
    </row>
  </sheetData>
  <mergeCells count="18">
    <mergeCell ref="A34:E34"/>
    <mergeCell ref="A8:E8"/>
    <mergeCell ref="A9:E9"/>
    <mergeCell ref="A10:E10"/>
    <mergeCell ref="B27:D27"/>
    <mergeCell ref="A28:E28"/>
    <mergeCell ref="A29:D29"/>
    <mergeCell ref="A30:E30"/>
    <mergeCell ref="A6:E6"/>
    <mergeCell ref="A7:E7"/>
    <mergeCell ref="A31:E31"/>
    <mergeCell ref="A32:E32"/>
    <mergeCell ref="A33:E33"/>
    <mergeCell ref="A1:E1"/>
    <mergeCell ref="A2:E2"/>
    <mergeCell ref="A3:E3"/>
    <mergeCell ref="A4:E4"/>
    <mergeCell ref="A5:E5"/>
  </mergeCells>
  <conditionalFormatting sqref="E12:E26">
    <cfRule type="notContainsBlanks" dxfId="45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  <pageSetUpPr fitToPage="1"/>
  </sheetPr>
  <dimension ref="A1:E30"/>
  <sheetViews>
    <sheetView workbookViewId="0"/>
  </sheetViews>
  <sheetFormatPr baseColWidth="10" defaultColWidth="12.6640625" defaultRowHeight="15" customHeight="1"/>
  <cols>
    <col min="1" max="1" width="8.5" customWidth="1"/>
    <col min="2" max="2" width="49.16406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1693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">
        <v>1</v>
      </c>
      <c r="B12" s="112" t="s">
        <v>1666</v>
      </c>
      <c r="C12" s="113" t="s">
        <v>329</v>
      </c>
      <c r="D12" s="113" t="s">
        <v>1667</v>
      </c>
      <c r="E12" s="18">
        <v>111255.28</v>
      </c>
    </row>
    <row r="13" spans="1:5" ht="15.75" customHeight="1">
      <c r="A13" s="11">
        <v>2</v>
      </c>
      <c r="B13" s="92" t="s">
        <v>1674</v>
      </c>
      <c r="C13" s="78" t="s">
        <v>71</v>
      </c>
      <c r="D13" s="98">
        <v>7721047</v>
      </c>
      <c r="E13" s="18">
        <v>13199</v>
      </c>
    </row>
    <row r="14" spans="1:5" ht="15.75" customHeight="1">
      <c r="A14" s="11">
        <v>3</v>
      </c>
      <c r="B14" s="24" t="s">
        <v>1675</v>
      </c>
      <c r="C14" s="42" t="s">
        <v>629</v>
      </c>
      <c r="D14" s="107" t="s">
        <v>1676</v>
      </c>
      <c r="E14" s="44">
        <v>16600</v>
      </c>
    </row>
    <row r="15" spans="1:5" ht="15.75" customHeight="1">
      <c r="A15" s="11">
        <v>4</v>
      </c>
      <c r="B15" s="17" t="s">
        <v>1677</v>
      </c>
      <c r="C15" s="13" t="s">
        <v>1321</v>
      </c>
      <c r="D15" s="78">
        <v>7625</v>
      </c>
      <c r="E15" s="18">
        <v>4249.18</v>
      </c>
    </row>
    <row r="16" spans="1:5" ht="15.75" customHeight="1">
      <c r="A16" s="11">
        <v>5</v>
      </c>
      <c r="B16" s="17" t="s">
        <v>1678</v>
      </c>
      <c r="C16" s="78" t="s">
        <v>1679</v>
      </c>
      <c r="D16" s="78" t="s">
        <v>1680</v>
      </c>
      <c r="E16" s="18">
        <v>160656.4</v>
      </c>
    </row>
    <row r="17" spans="1:5" ht="15.75" customHeight="1">
      <c r="A17" s="11">
        <v>6</v>
      </c>
      <c r="B17" s="92" t="s">
        <v>1681</v>
      </c>
      <c r="C17" s="78" t="s">
        <v>582</v>
      </c>
      <c r="D17" s="98" t="s">
        <v>1682</v>
      </c>
      <c r="E17" s="18">
        <v>96505.08</v>
      </c>
    </row>
    <row r="18" spans="1:5" ht="15.75" customHeight="1">
      <c r="A18" s="11">
        <v>7</v>
      </c>
      <c r="B18" s="17" t="s">
        <v>1683</v>
      </c>
      <c r="C18" s="78" t="s">
        <v>218</v>
      </c>
      <c r="D18" s="78">
        <v>566</v>
      </c>
      <c r="E18" s="18">
        <v>455900</v>
      </c>
    </row>
    <row r="19" spans="1:5" ht="15.75" customHeight="1">
      <c r="A19" s="11">
        <v>8</v>
      </c>
      <c r="B19" s="17" t="s">
        <v>1684</v>
      </c>
      <c r="C19" s="13" t="s">
        <v>15</v>
      </c>
      <c r="D19" s="98" t="s">
        <v>1685</v>
      </c>
      <c r="E19" s="18">
        <v>23478.43</v>
      </c>
    </row>
    <row r="20" spans="1:5" ht="15.75" customHeight="1">
      <c r="A20" s="11">
        <v>9</v>
      </c>
      <c r="B20" s="17" t="s">
        <v>1686</v>
      </c>
      <c r="C20" s="13" t="s">
        <v>51</v>
      </c>
      <c r="D20" s="98" t="s">
        <v>1687</v>
      </c>
      <c r="E20" s="18">
        <v>4094.85</v>
      </c>
    </row>
    <row r="21" spans="1:5" ht="15.75" customHeight="1">
      <c r="A21" s="11">
        <v>10</v>
      </c>
      <c r="B21" s="17" t="s">
        <v>753</v>
      </c>
      <c r="C21" s="78" t="s">
        <v>472</v>
      </c>
      <c r="D21" s="78">
        <v>10099</v>
      </c>
      <c r="E21" s="18">
        <v>6400</v>
      </c>
    </row>
    <row r="22" spans="1:5" ht="15.75" customHeight="1">
      <c r="A22" s="11">
        <v>11</v>
      </c>
      <c r="B22" s="17" t="s">
        <v>1688</v>
      </c>
      <c r="C22" s="13" t="s">
        <v>828</v>
      </c>
      <c r="D22" s="98" t="s">
        <v>1689</v>
      </c>
      <c r="E22" s="18">
        <v>100837.9</v>
      </c>
    </row>
    <row r="23" spans="1:5" ht="15.75" customHeight="1">
      <c r="A23" s="8" t="s">
        <v>24</v>
      </c>
      <c r="B23" s="203"/>
      <c r="C23" s="204"/>
      <c r="D23" s="205"/>
      <c r="E23" s="49">
        <f>SUM(E12:E22)</f>
        <v>993176.12</v>
      </c>
    </row>
    <row r="24" spans="1:5" ht="15.75" customHeight="1">
      <c r="A24" s="198"/>
      <c r="B24" s="196"/>
      <c r="C24" s="196"/>
      <c r="D24" s="196"/>
      <c r="E24" s="196"/>
    </row>
    <row r="25" spans="1:5" ht="15.75" customHeight="1">
      <c r="A25" s="198" t="s">
        <v>1694</v>
      </c>
      <c r="B25" s="196"/>
      <c r="C25" s="196"/>
      <c r="D25" s="196"/>
      <c r="E25" s="27">
        <f>E23*8%</f>
        <v>79454.089600000007</v>
      </c>
    </row>
    <row r="26" spans="1:5" ht="14.25" customHeight="1">
      <c r="A26" s="198" t="s">
        <v>25</v>
      </c>
      <c r="B26" s="196"/>
      <c r="C26" s="196"/>
      <c r="D26" s="196"/>
      <c r="E26" s="196"/>
    </row>
    <row r="27" spans="1:5" ht="35.25" customHeight="1">
      <c r="A27" s="198"/>
      <c r="B27" s="196"/>
      <c r="C27" s="196"/>
      <c r="D27" s="196"/>
      <c r="E27" s="196"/>
    </row>
    <row r="28" spans="1:5" ht="15.75" customHeight="1">
      <c r="A28" s="198" t="s">
        <v>26</v>
      </c>
      <c r="B28" s="196"/>
      <c r="C28" s="196"/>
      <c r="D28" s="196"/>
      <c r="E28" s="196"/>
    </row>
    <row r="29" spans="1:5" ht="15.75" customHeight="1">
      <c r="A29" s="198" t="s">
        <v>27</v>
      </c>
      <c r="B29" s="196"/>
      <c r="C29" s="196"/>
      <c r="D29" s="196"/>
      <c r="E29" s="196"/>
    </row>
    <row r="30" spans="1:5" ht="15.75" customHeight="1">
      <c r="A30" s="198" t="s">
        <v>28</v>
      </c>
      <c r="B30" s="196"/>
      <c r="C30" s="196"/>
      <c r="D30" s="196"/>
      <c r="E30" s="196"/>
    </row>
  </sheetData>
  <mergeCells count="18">
    <mergeCell ref="A30:E30"/>
    <mergeCell ref="A8:E8"/>
    <mergeCell ref="A9:E9"/>
    <mergeCell ref="A10:E10"/>
    <mergeCell ref="B23:D23"/>
    <mergeCell ref="A24:E24"/>
    <mergeCell ref="A25:D25"/>
    <mergeCell ref="A26:E26"/>
    <mergeCell ref="A6:E6"/>
    <mergeCell ref="A7:E7"/>
    <mergeCell ref="A27:E27"/>
    <mergeCell ref="A28:E28"/>
    <mergeCell ref="A29:E29"/>
    <mergeCell ref="A1:E1"/>
    <mergeCell ref="A2:E2"/>
    <mergeCell ref="A3:E3"/>
    <mergeCell ref="A4:E4"/>
    <mergeCell ref="A5:E5"/>
  </mergeCells>
  <conditionalFormatting sqref="E12:E22">
    <cfRule type="notContainsBlanks" dxfId="44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  <pageSetUpPr fitToPage="1"/>
  </sheetPr>
  <dimension ref="A1:E30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615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1695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"/>
      <c r="B12" s="24" t="s">
        <v>1696</v>
      </c>
      <c r="C12" s="113" t="s">
        <v>15</v>
      </c>
      <c r="D12" s="107" t="s">
        <v>1697</v>
      </c>
      <c r="E12" s="44">
        <v>108013.37</v>
      </c>
    </row>
    <row r="13" spans="1:5" ht="15.75" customHeight="1">
      <c r="A13" s="11"/>
      <c r="B13" s="17" t="s">
        <v>1698</v>
      </c>
      <c r="C13" s="113" t="s">
        <v>15</v>
      </c>
      <c r="D13" s="98" t="s">
        <v>1699</v>
      </c>
      <c r="E13" s="18">
        <v>62400.85</v>
      </c>
    </row>
    <row r="14" spans="1:5" ht="15.75" customHeight="1">
      <c r="A14" s="11"/>
      <c r="B14" s="24" t="s">
        <v>1700</v>
      </c>
      <c r="C14" s="113" t="s">
        <v>1639</v>
      </c>
      <c r="D14" s="107">
        <v>4409</v>
      </c>
      <c r="E14" s="44">
        <v>38750</v>
      </c>
    </row>
    <row r="15" spans="1:5" ht="15.75" customHeight="1">
      <c r="A15" s="11"/>
      <c r="B15" s="17" t="s">
        <v>1701</v>
      </c>
      <c r="C15" s="13" t="s">
        <v>1702</v>
      </c>
      <c r="D15" s="78">
        <v>1</v>
      </c>
      <c r="E15" s="18">
        <v>2171031</v>
      </c>
    </row>
    <row r="16" spans="1:5" ht="15.75" customHeight="1">
      <c r="A16" s="11"/>
      <c r="B16" s="17" t="s">
        <v>1703</v>
      </c>
      <c r="C16" s="13" t="s">
        <v>1130</v>
      </c>
      <c r="D16" s="98" t="s">
        <v>1704</v>
      </c>
      <c r="E16" s="18">
        <v>159000</v>
      </c>
    </row>
    <row r="17" spans="1:5" ht="15.75" customHeight="1">
      <c r="A17" s="11"/>
      <c r="B17" s="17" t="s">
        <v>1705</v>
      </c>
      <c r="C17" s="78" t="s">
        <v>22</v>
      </c>
      <c r="D17" s="98">
        <v>48</v>
      </c>
      <c r="E17" s="18">
        <v>68800</v>
      </c>
    </row>
    <row r="18" spans="1:5" ht="15.75" customHeight="1">
      <c r="A18" s="11"/>
      <c r="B18" s="17" t="s">
        <v>1706</v>
      </c>
      <c r="C18" s="13" t="s">
        <v>253</v>
      </c>
      <c r="D18" s="98">
        <v>35</v>
      </c>
      <c r="E18" s="18">
        <v>14100</v>
      </c>
    </row>
    <row r="19" spans="1:5" ht="15.75" customHeight="1">
      <c r="A19" s="11"/>
      <c r="B19" s="17" t="s">
        <v>1707</v>
      </c>
      <c r="C19" s="13" t="s">
        <v>1708</v>
      </c>
      <c r="D19" s="98">
        <v>3</v>
      </c>
      <c r="E19" s="18">
        <v>200391</v>
      </c>
    </row>
    <row r="20" spans="1:5" ht="15.75" customHeight="1">
      <c r="A20" s="11"/>
      <c r="B20" s="24" t="s">
        <v>1709</v>
      </c>
      <c r="C20" s="78" t="s">
        <v>1526</v>
      </c>
      <c r="D20" s="78">
        <v>14</v>
      </c>
      <c r="E20" s="14">
        <v>16400</v>
      </c>
    </row>
    <row r="21" spans="1:5" ht="15.75" customHeight="1">
      <c r="A21" s="11"/>
      <c r="B21" s="24" t="s">
        <v>1710</v>
      </c>
      <c r="C21" s="13" t="s">
        <v>1702</v>
      </c>
      <c r="D21" s="78">
        <v>16</v>
      </c>
      <c r="E21" s="14">
        <v>897241.5</v>
      </c>
    </row>
    <row r="22" spans="1:5" ht="15.75" customHeight="1">
      <c r="A22" s="11"/>
      <c r="B22" s="109" t="s">
        <v>1711</v>
      </c>
      <c r="C22" s="107" t="s">
        <v>629</v>
      </c>
      <c r="D22" s="107" t="s">
        <v>1712</v>
      </c>
      <c r="E22" s="44">
        <v>20300</v>
      </c>
    </row>
    <row r="23" spans="1:5" ht="15.75" customHeight="1">
      <c r="A23" s="8" t="s">
        <v>24</v>
      </c>
      <c r="B23" s="203"/>
      <c r="C23" s="204"/>
      <c r="D23" s="205"/>
      <c r="E23" s="49">
        <f>SUM(E12:E22)</f>
        <v>3756427.72</v>
      </c>
    </row>
    <row r="24" spans="1:5" ht="15.75" customHeight="1">
      <c r="A24" s="198"/>
      <c r="B24" s="196"/>
      <c r="C24" s="196"/>
      <c r="D24" s="196"/>
      <c r="E24" s="196"/>
    </row>
    <row r="25" spans="1:5" ht="15.75" customHeight="1">
      <c r="A25" s="198" t="s">
        <v>1713</v>
      </c>
      <c r="B25" s="196"/>
      <c r="C25" s="196"/>
      <c r="D25" s="196"/>
      <c r="E25" s="27">
        <f>IF(E23&gt;=10000000,5000000*2%+5000000*1%+(E23-10000000)*0.5%,IF(E23&gt;=5000000,5000000*2%+(E23-5000000)*1%,E23*2%))</f>
        <v>75128.554400000008</v>
      </c>
    </row>
    <row r="26" spans="1:5" ht="14.25" customHeight="1">
      <c r="A26" s="198" t="s">
        <v>25</v>
      </c>
      <c r="B26" s="196"/>
      <c r="C26" s="196"/>
      <c r="D26" s="196"/>
      <c r="E26" s="196"/>
    </row>
    <row r="27" spans="1:5" ht="35.25" customHeight="1">
      <c r="A27" s="198"/>
      <c r="B27" s="196"/>
      <c r="C27" s="196"/>
      <c r="D27" s="196"/>
      <c r="E27" s="196"/>
    </row>
    <row r="28" spans="1:5" ht="15.75" customHeight="1">
      <c r="A28" s="198" t="s">
        <v>26</v>
      </c>
      <c r="B28" s="196"/>
      <c r="C28" s="196"/>
      <c r="D28" s="196"/>
      <c r="E28" s="196"/>
    </row>
    <row r="29" spans="1:5" ht="15.75" customHeight="1">
      <c r="A29" s="198" t="s">
        <v>27</v>
      </c>
      <c r="B29" s="196"/>
      <c r="C29" s="196"/>
      <c r="D29" s="196"/>
      <c r="E29" s="196"/>
    </row>
    <row r="30" spans="1:5" ht="15.75" customHeight="1">
      <c r="A30" s="198" t="s">
        <v>28</v>
      </c>
      <c r="B30" s="196"/>
      <c r="C30" s="196"/>
      <c r="D30" s="196"/>
      <c r="E30" s="196"/>
    </row>
  </sheetData>
  <mergeCells count="18">
    <mergeCell ref="A30:E30"/>
    <mergeCell ref="A8:E8"/>
    <mergeCell ref="A9:E9"/>
    <mergeCell ref="A10:E10"/>
    <mergeCell ref="B23:D23"/>
    <mergeCell ref="A24:E24"/>
    <mergeCell ref="A25:D25"/>
    <mergeCell ref="A26:E26"/>
    <mergeCell ref="A6:E6"/>
    <mergeCell ref="A7:E7"/>
    <mergeCell ref="A27:E27"/>
    <mergeCell ref="A28:E28"/>
    <mergeCell ref="A29:E29"/>
    <mergeCell ref="A1:E1"/>
    <mergeCell ref="A2:E2"/>
    <mergeCell ref="A3:E3"/>
    <mergeCell ref="A4:E4"/>
    <mergeCell ref="A5:E5"/>
  </mergeCells>
  <conditionalFormatting sqref="E12:E22">
    <cfRule type="notContainsBlanks" dxfId="43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  <pageSetUpPr fitToPage="1"/>
  </sheetPr>
  <dimension ref="A1:E27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2" t="s">
        <v>0</v>
      </c>
      <c r="B1" s="196"/>
      <c r="C1" s="196"/>
      <c r="D1" s="196"/>
      <c r="E1" s="196"/>
    </row>
    <row r="2" spans="1:5" ht="15.75" customHeight="1">
      <c r="A2" s="199" t="s">
        <v>1</v>
      </c>
      <c r="B2" s="196"/>
      <c r="C2" s="196"/>
      <c r="D2" s="196"/>
      <c r="E2" s="196"/>
    </row>
    <row r="3" spans="1:5" ht="15.75" customHeight="1">
      <c r="A3" s="200" t="s">
        <v>2</v>
      </c>
      <c r="B3" s="196"/>
      <c r="C3" s="196"/>
      <c r="D3" s="196"/>
      <c r="E3" s="196"/>
    </row>
    <row r="4" spans="1:5" ht="15.75" customHeight="1">
      <c r="A4" s="200" t="s">
        <v>3</v>
      </c>
      <c r="B4" s="196"/>
      <c r="C4" s="196"/>
      <c r="D4" s="196"/>
      <c r="E4" s="196"/>
    </row>
    <row r="5" spans="1:5" ht="15.75" customHeight="1">
      <c r="A5" s="200" t="s">
        <v>4</v>
      </c>
      <c r="B5" s="196"/>
      <c r="C5" s="196"/>
      <c r="D5" s="196"/>
      <c r="E5" s="196"/>
    </row>
    <row r="6" spans="1:5" ht="15.75" customHeight="1">
      <c r="A6" s="200" t="s">
        <v>5</v>
      </c>
      <c r="B6" s="196"/>
      <c r="C6" s="196"/>
      <c r="D6" s="196"/>
      <c r="E6" s="196"/>
    </row>
    <row r="7" spans="1:5" ht="15.75" customHeight="1">
      <c r="A7" s="201" t="s">
        <v>1540</v>
      </c>
      <c r="B7" s="196"/>
      <c r="C7" s="196"/>
      <c r="D7" s="196"/>
      <c r="E7" s="196"/>
    </row>
    <row r="8" spans="1:5" ht="15.75" customHeight="1">
      <c r="A8" s="195" t="s">
        <v>7</v>
      </c>
      <c r="B8" s="196"/>
      <c r="C8" s="196"/>
      <c r="D8" s="196"/>
      <c r="E8" s="196"/>
    </row>
    <row r="9" spans="1:5" ht="15.75" customHeight="1">
      <c r="A9" s="197" t="s">
        <v>1714</v>
      </c>
      <c r="B9" s="196"/>
      <c r="C9" s="196"/>
      <c r="D9" s="196"/>
      <c r="E9" s="196"/>
    </row>
    <row r="10" spans="1:5" ht="15.75" customHeight="1">
      <c r="A10" s="198"/>
      <c r="B10" s="196"/>
      <c r="C10" s="196"/>
      <c r="D10" s="196"/>
      <c r="E10" s="196"/>
    </row>
    <row r="11" spans="1:5" ht="15.75" customHeight="1">
      <c r="A11" s="9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1">
        <v>1</v>
      </c>
      <c r="B12" s="17" t="s">
        <v>1698</v>
      </c>
      <c r="C12" s="113" t="s">
        <v>15</v>
      </c>
      <c r="D12" s="98" t="s">
        <v>1699</v>
      </c>
      <c r="E12" s="18">
        <v>62400.85</v>
      </c>
    </row>
    <row r="13" spans="1:5" ht="15.75" customHeight="1">
      <c r="A13" s="11">
        <v>2</v>
      </c>
      <c r="B13" s="24" t="s">
        <v>1700</v>
      </c>
      <c r="C13" s="113" t="s">
        <v>1639</v>
      </c>
      <c r="D13" s="107">
        <v>4409</v>
      </c>
      <c r="E13" s="44">
        <v>38750</v>
      </c>
    </row>
    <row r="14" spans="1:5" ht="15.75" customHeight="1">
      <c r="A14" s="11">
        <v>3</v>
      </c>
      <c r="B14" s="17" t="s">
        <v>1703</v>
      </c>
      <c r="C14" s="13" t="s">
        <v>1130</v>
      </c>
      <c r="D14" s="98" t="s">
        <v>1704</v>
      </c>
      <c r="E14" s="18">
        <v>159000</v>
      </c>
    </row>
    <row r="15" spans="1:5" ht="15.75" customHeight="1">
      <c r="A15" s="11">
        <v>4</v>
      </c>
      <c r="B15" s="17" t="s">
        <v>1705</v>
      </c>
      <c r="C15" s="78" t="s">
        <v>22</v>
      </c>
      <c r="D15" s="98">
        <v>48</v>
      </c>
      <c r="E15" s="18">
        <v>60218.6</v>
      </c>
    </row>
    <row r="16" spans="1:5" ht="15.75" customHeight="1">
      <c r="A16" s="11">
        <v>5</v>
      </c>
      <c r="B16" s="17" t="s">
        <v>1706</v>
      </c>
      <c r="C16" s="13" t="s">
        <v>253</v>
      </c>
      <c r="D16" s="98">
        <v>35</v>
      </c>
      <c r="E16" s="18">
        <v>14100</v>
      </c>
    </row>
    <row r="17" spans="1:5" ht="15.75" customHeight="1">
      <c r="A17" s="11">
        <v>6</v>
      </c>
      <c r="B17" s="17" t="s">
        <v>1707</v>
      </c>
      <c r="C17" s="13" t="s">
        <v>1708</v>
      </c>
      <c r="D17" s="98">
        <v>3</v>
      </c>
      <c r="E17" s="18">
        <v>200391</v>
      </c>
    </row>
    <row r="18" spans="1:5" ht="15.75" customHeight="1">
      <c r="A18" s="11">
        <v>7</v>
      </c>
      <c r="B18" s="24" t="s">
        <v>1709</v>
      </c>
      <c r="C18" s="78" t="s">
        <v>1526</v>
      </c>
      <c r="D18" s="78">
        <v>14</v>
      </c>
      <c r="E18" s="14">
        <v>16400</v>
      </c>
    </row>
    <row r="19" spans="1:5" ht="15.75" customHeight="1">
      <c r="A19" s="11">
        <v>8</v>
      </c>
      <c r="B19" s="24" t="s">
        <v>1710</v>
      </c>
      <c r="C19" s="13" t="s">
        <v>1702</v>
      </c>
      <c r="D19" s="78">
        <v>16</v>
      </c>
      <c r="E19" s="14">
        <v>897241.5</v>
      </c>
    </row>
    <row r="20" spans="1:5" ht="15.75" customHeight="1">
      <c r="A20" s="8" t="s">
        <v>24</v>
      </c>
      <c r="B20" s="203"/>
      <c r="C20" s="204"/>
      <c r="D20" s="205"/>
      <c r="E20" s="49">
        <f>SUM(E12:E19)</f>
        <v>1448501.95</v>
      </c>
    </row>
    <row r="21" spans="1:5" ht="15.75" customHeight="1">
      <c r="A21" s="198"/>
      <c r="B21" s="196"/>
      <c r="C21" s="196"/>
      <c r="D21" s="196"/>
      <c r="E21" s="196"/>
    </row>
    <row r="22" spans="1:5" ht="15.75" customHeight="1">
      <c r="A22" s="198" t="s">
        <v>1715</v>
      </c>
      <c r="B22" s="196"/>
      <c r="C22" s="196"/>
      <c r="D22" s="196"/>
      <c r="E22" s="27">
        <f>E20*8%</f>
        <v>115880.156</v>
      </c>
    </row>
    <row r="23" spans="1:5" ht="14.25" customHeight="1">
      <c r="A23" s="198" t="s">
        <v>25</v>
      </c>
      <c r="B23" s="196"/>
      <c r="C23" s="196"/>
      <c r="D23" s="196"/>
      <c r="E23" s="196"/>
    </row>
    <row r="24" spans="1:5" ht="35.25" customHeight="1">
      <c r="A24" s="198"/>
      <c r="B24" s="196"/>
      <c r="C24" s="196"/>
      <c r="D24" s="196"/>
      <c r="E24" s="196"/>
    </row>
    <row r="25" spans="1:5" ht="15.75" customHeight="1">
      <c r="A25" s="198" t="s">
        <v>26</v>
      </c>
      <c r="B25" s="196"/>
      <c r="C25" s="196"/>
      <c r="D25" s="196"/>
      <c r="E25" s="196"/>
    </row>
    <row r="26" spans="1:5" ht="15.75" customHeight="1">
      <c r="A26" s="198" t="s">
        <v>27</v>
      </c>
      <c r="B26" s="196"/>
      <c r="C26" s="196"/>
      <c r="D26" s="196"/>
      <c r="E26" s="196"/>
    </row>
    <row r="27" spans="1:5" ht="15.75" customHeight="1">
      <c r="A27" s="198" t="s">
        <v>28</v>
      </c>
      <c r="B27" s="196"/>
      <c r="C27" s="196"/>
      <c r="D27" s="196"/>
      <c r="E27" s="196"/>
    </row>
  </sheetData>
  <mergeCells count="18">
    <mergeCell ref="A27:E27"/>
    <mergeCell ref="A8:E8"/>
    <mergeCell ref="A9:E9"/>
    <mergeCell ref="A10:E10"/>
    <mergeCell ref="B20:D20"/>
    <mergeCell ref="A21:E21"/>
    <mergeCell ref="A22:D22"/>
    <mergeCell ref="A23:E23"/>
    <mergeCell ref="A6:E6"/>
    <mergeCell ref="A7:E7"/>
    <mergeCell ref="A24:E24"/>
    <mergeCell ref="A25:E25"/>
    <mergeCell ref="A26:E26"/>
    <mergeCell ref="A1:E1"/>
    <mergeCell ref="A2:E2"/>
    <mergeCell ref="A3:E3"/>
    <mergeCell ref="A4:E4"/>
    <mergeCell ref="A5:E5"/>
  </mergeCells>
  <conditionalFormatting sqref="E12:E19">
    <cfRule type="notContainsBlanks" dxfId="42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  <pageSetUpPr fitToPage="1"/>
  </sheetPr>
  <dimension ref="A1:E61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1716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06" t="s">
        <v>1209</v>
      </c>
      <c r="B12" s="132" t="s">
        <v>1717</v>
      </c>
      <c r="C12" s="133" t="s">
        <v>1718</v>
      </c>
      <c r="D12" s="133">
        <v>15</v>
      </c>
      <c r="E12" s="134">
        <v>262656</v>
      </c>
    </row>
    <row r="13" spans="1:5" ht="15.75" customHeight="1">
      <c r="A13" s="106" t="s">
        <v>1212</v>
      </c>
      <c r="B13" s="135" t="s">
        <v>1719</v>
      </c>
      <c r="C13" s="133" t="s">
        <v>1481</v>
      </c>
      <c r="D13" s="136" t="s">
        <v>1720</v>
      </c>
      <c r="E13" s="102">
        <v>16000</v>
      </c>
    </row>
    <row r="14" spans="1:5" ht="15.75" customHeight="1">
      <c r="A14" s="106" t="s">
        <v>1215</v>
      </c>
      <c r="B14" s="132" t="s">
        <v>1721</v>
      </c>
      <c r="C14" s="133" t="s">
        <v>1589</v>
      </c>
      <c r="D14" s="133" t="s">
        <v>1722</v>
      </c>
      <c r="E14" s="134">
        <v>246580</v>
      </c>
    </row>
    <row r="15" spans="1:5" ht="15.75" customHeight="1">
      <c r="A15" s="106" t="s">
        <v>1217</v>
      </c>
      <c r="B15" s="135" t="s">
        <v>1723</v>
      </c>
      <c r="C15" s="100" t="s">
        <v>1724</v>
      </c>
      <c r="D15" s="133">
        <v>431</v>
      </c>
      <c r="E15" s="102">
        <v>1686585.74</v>
      </c>
    </row>
    <row r="16" spans="1:5" ht="15.75" customHeight="1">
      <c r="A16" s="106" t="s">
        <v>1221</v>
      </c>
      <c r="B16" s="135" t="s">
        <v>1725</v>
      </c>
      <c r="C16" s="100" t="s">
        <v>45</v>
      </c>
      <c r="D16" s="136" t="s">
        <v>1726</v>
      </c>
      <c r="E16" s="102">
        <v>106963</v>
      </c>
    </row>
    <row r="17" spans="1:5" ht="15.75" customHeight="1">
      <c r="A17" s="106" t="s">
        <v>1224</v>
      </c>
      <c r="B17" s="135" t="s">
        <v>1727</v>
      </c>
      <c r="C17" s="133" t="s">
        <v>1728</v>
      </c>
      <c r="D17" s="136">
        <v>158271454</v>
      </c>
      <c r="E17" s="102">
        <v>2560</v>
      </c>
    </row>
    <row r="18" spans="1:5">
      <c r="A18" s="106" t="s">
        <v>1226</v>
      </c>
      <c r="B18" s="135" t="s">
        <v>1729</v>
      </c>
      <c r="C18" s="133" t="s">
        <v>143</v>
      </c>
      <c r="D18" s="136">
        <v>1022</v>
      </c>
      <c r="E18" s="102">
        <v>86810</v>
      </c>
    </row>
    <row r="19" spans="1:5" ht="15.75" customHeight="1">
      <c r="A19" s="106" t="s">
        <v>1228</v>
      </c>
      <c r="B19" s="135" t="s">
        <v>1730</v>
      </c>
      <c r="C19" s="100" t="s">
        <v>1731</v>
      </c>
      <c r="D19" s="136">
        <v>3910</v>
      </c>
      <c r="E19" s="102">
        <v>21980</v>
      </c>
    </row>
    <row r="20" spans="1:5" ht="15.75" customHeight="1">
      <c r="A20" s="106" t="s">
        <v>1230</v>
      </c>
      <c r="B20" s="135" t="s">
        <v>1732</v>
      </c>
      <c r="C20" s="100" t="s">
        <v>1733</v>
      </c>
      <c r="D20" s="136" t="s">
        <v>1734</v>
      </c>
      <c r="E20" s="102">
        <v>24750</v>
      </c>
    </row>
    <row r="21" spans="1:5" ht="15.75" customHeight="1">
      <c r="A21" s="106" t="s">
        <v>1232</v>
      </c>
      <c r="B21" s="135" t="s">
        <v>1735</v>
      </c>
      <c r="C21" s="100" t="s">
        <v>218</v>
      </c>
      <c r="D21" s="136">
        <v>28</v>
      </c>
      <c r="E21" s="102">
        <v>25500</v>
      </c>
    </row>
    <row r="22" spans="1:5" ht="15.75" customHeight="1">
      <c r="A22" s="106" t="s">
        <v>1234</v>
      </c>
      <c r="B22" s="132" t="s">
        <v>1736</v>
      </c>
      <c r="C22" s="133" t="s">
        <v>1493</v>
      </c>
      <c r="D22" s="133" t="s">
        <v>1737</v>
      </c>
      <c r="E22" s="134">
        <v>292800</v>
      </c>
    </row>
    <row r="23" spans="1:5" ht="15.75" customHeight="1">
      <c r="A23" s="106" t="s">
        <v>1236</v>
      </c>
      <c r="B23" s="137" t="s">
        <v>1710</v>
      </c>
      <c r="C23" s="100" t="s">
        <v>1702</v>
      </c>
      <c r="D23" s="133">
        <v>23</v>
      </c>
      <c r="E23" s="134">
        <v>897241.5</v>
      </c>
    </row>
    <row r="24" spans="1:5" ht="15.75" customHeight="1">
      <c r="A24" s="106" t="s">
        <v>1240</v>
      </c>
      <c r="B24" s="135" t="s">
        <v>1738</v>
      </c>
      <c r="C24" s="133" t="s">
        <v>1739</v>
      </c>
      <c r="D24" s="133" t="s">
        <v>1740</v>
      </c>
      <c r="E24" s="102">
        <v>76251</v>
      </c>
    </row>
    <row r="25" spans="1:5" ht="15.75" customHeight="1">
      <c r="A25" s="106" t="s">
        <v>1242</v>
      </c>
      <c r="B25" s="135" t="s">
        <v>1741</v>
      </c>
      <c r="C25" s="133" t="s">
        <v>1742</v>
      </c>
      <c r="D25" s="133">
        <v>84</v>
      </c>
      <c r="E25" s="102">
        <v>11200</v>
      </c>
    </row>
    <row r="26" spans="1:5" ht="15.75" customHeight="1">
      <c r="A26" s="106" t="s">
        <v>1245</v>
      </c>
      <c r="B26" s="135" t="s">
        <v>1743</v>
      </c>
      <c r="C26" s="100" t="s">
        <v>828</v>
      </c>
      <c r="D26" s="133" t="s">
        <v>1744</v>
      </c>
      <c r="E26" s="102">
        <v>3840</v>
      </c>
    </row>
    <row r="27" spans="1:5" ht="15.75" customHeight="1">
      <c r="A27" s="106" t="s">
        <v>1247</v>
      </c>
      <c r="B27" s="135" t="s">
        <v>1745</v>
      </c>
      <c r="C27" s="100" t="s">
        <v>1746</v>
      </c>
      <c r="D27" s="133">
        <v>178</v>
      </c>
      <c r="E27" s="102">
        <v>48000</v>
      </c>
    </row>
    <row r="28" spans="1:5" ht="15.75" customHeight="1">
      <c r="A28" s="106" t="s">
        <v>1249</v>
      </c>
      <c r="B28" s="135" t="s">
        <v>1747</v>
      </c>
      <c r="C28" s="100" t="s">
        <v>1748</v>
      </c>
      <c r="D28" s="133">
        <v>279</v>
      </c>
      <c r="E28" s="102">
        <v>3794999.8</v>
      </c>
    </row>
    <row r="29" spans="1:5" ht="15.75" customHeight="1">
      <c r="A29" s="106" t="s">
        <v>1252</v>
      </c>
      <c r="B29" s="135" t="s">
        <v>1749</v>
      </c>
      <c r="C29" s="133" t="s">
        <v>1750</v>
      </c>
      <c r="D29" s="133">
        <v>602</v>
      </c>
      <c r="E29" s="102">
        <v>19810</v>
      </c>
    </row>
    <row r="30" spans="1:5" ht="15.75" customHeight="1">
      <c r="A30" s="106" t="s">
        <v>1255</v>
      </c>
      <c r="B30" s="135" t="s">
        <v>1751</v>
      </c>
      <c r="C30" s="133" t="s">
        <v>1549</v>
      </c>
      <c r="D30" s="133">
        <v>55</v>
      </c>
      <c r="E30" s="102">
        <v>10793</v>
      </c>
    </row>
    <row r="31" spans="1:5" ht="15.75" customHeight="1">
      <c r="A31" s="106" t="s">
        <v>1257</v>
      </c>
      <c r="B31" s="135" t="s">
        <v>1752</v>
      </c>
      <c r="C31" s="133" t="s">
        <v>1753</v>
      </c>
      <c r="D31" s="133">
        <v>65</v>
      </c>
      <c r="E31" s="102">
        <v>11680000</v>
      </c>
    </row>
    <row r="32" spans="1:5" ht="15.75" customHeight="1">
      <c r="A32" s="106" t="s">
        <v>1259</v>
      </c>
      <c r="B32" s="135" t="s">
        <v>1754</v>
      </c>
      <c r="C32" s="133" t="s">
        <v>1755</v>
      </c>
      <c r="D32" s="133" t="s">
        <v>1756</v>
      </c>
      <c r="E32" s="102">
        <v>66010</v>
      </c>
    </row>
    <row r="33" spans="1:5" ht="15.75" customHeight="1">
      <c r="A33" s="106" t="s">
        <v>1263</v>
      </c>
      <c r="B33" s="135" t="s">
        <v>1757</v>
      </c>
      <c r="C33" s="133" t="s">
        <v>1728</v>
      </c>
      <c r="D33" s="133">
        <v>158764430</v>
      </c>
      <c r="E33" s="102">
        <v>16832</v>
      </c>
    </row>
    <row r="34" spans="1:5" ht="15.75" customHeight="1">
      <c r="A34" s="106" t="s">
        <v>1267</v>
      </c>
      <c r="B34" s="135" t="s">
        <v>1758</v>
      </c>
      <c r="C34" s="133" t="s">
        <v>1759</v>
      </c>
      <c r="D34" s="133">
        <v>5069</v>
      </c>
      <c r="E34" s="102">
        <v>57000</v>
      </c>
    </row>
    <row r="35" spans="1:5" ht="15.75" customHeight="1">
      <c r="A35" s="106" t="s">
        <v>1270</v>
      </c>
      <c r="B35" s="138" t="s">
        <v>1711</v>
      </c>
      <c r="C35" s="139" t="s">
        <v>629</v>
      </c>
      <c r="D35" s="139" t="s">
        <v>1712</v>
      </c>
      <c r="E35" s="140">
        <v>20300</v>
      </c>
    </row>
    <row r="36" spans="1:5" ht="15.75" customHeight="1">
      <c r="A36" s="106" t="s">
        <v>1273</v>
      </c>
      <c r="B36" s="138" t="s">
        <v>1760</v>
      </c>
      <c r="C36" s="139" t="s">
        <v>1761</v>
      </c>
      <c r="D36" s="139">
        <v>48</v>
      </c>
      <c r="E36" s="140">
        <v>23966</v>
      </c>
    </row>
    <row r="37" spans="1:5" ht="15.75" customHeight="1">
      <c r="A37" s="106" t="s">
        <v>1275</v>
      </c>
      <c r="B37" s="138" t="s">
        <v>1762</v>
      </c>
      <c r="C37" s="139" t="s">
        <v>355</v>
      </c>
      <c r="D37" s="139">
        <v>195</v>
      </c>
      <c r="E37" s="140">
        <v>3830</v>
      </c>
    </row>
    <row r="38" spans="1:5" ht="15.75" customHeight="1">
      <c r="A38" s="106" t="s">
        <v>1278</v>
      </c>
      <c r="B38" s="138" t="s">
        <v>1763</v>
      </c>
      <c r="C38" s="139" t="s">
        <v>1514</v>
      </c>
      <c r="D38" s="139" t="s">
        <v>1764</v>
      </c>
      <c r="E38" s="140">
        <v>25300</v>
      </c>
    </row>
    <row r="39" spans="1:5" ht="46.5" customHeight="1">
      <c r="A39" s="106" t="s">
        <v>1281</v>
      </c>
      <c r="B39" s="138" t="s">
        <v>1765</v>
      </c>
      <c r="C39" s="139" t="s">
        <v>1766</v>
      </c>
      <c r="D39" s="141" t="s">
        <v>1767</v>
      </c>
      <c r="E39" s="140">
        <v>1095243.33</v>
      </c>
    </row>
    <row r="40" spans="1:5" ht="15.75" customHeight="1">
      <c r="A40" s="106" t="s">
        <v>1284</v>
      </c>
      <c r="B40" s="138" t="s">
        <v>1768</v>
      </c>
      <c r="C40" s="139" t="s">
        <v>783</v>
      </c>
      <c r="D40" s="139" t="s">
        <v>1769</v>
      </c>
      <c r="E40" s="140">
        <v>16500</v>
      </c>
    </row>
    <row r="41" spans="1:5" ht="15.75" customHeight="1">
      <c r="A41" s="106" t="s">
        <v>1286</v>
      </c>
      <c r="B41" s="138" t="s">
        <v>1770</v>
      </c>
      <c r="C41" s="139" t="s">
        <v>1771</v>
      </c>
      <c r="D41" s="139" t="s">
        <v>1772</v>
      </c>
      <c r="E41" s="140">
        <v>13299</v>
      </c>
    </row>
    <row r="42" spans="1:5" ht="15.75" customHeight="1">
      <c r="A42" s="106" t="s">
        <v>1288</v>
      </c>
      <c r="B42" s="138" t="s">
        <v>1773</v>
      </c>
      <c r="C42" s="139" t="s">
        <v>218</v>
      </c>
      <c r="D42" s="139">
        <v>50</v>
      </c>
      <c r="E42" s="140">
        <v>130000</v>
      </c>
    </row>
    <row r="43" spans="1:5" ht="15.75" customHeight="1">
      <c r="A43" s="106" t="s">
        <v>1290</v>
      </c>
      <c r="B43" s="138" t="s">
        <v>1774</v>
      </c>
      <c r="C43" s="139" t="s">
        <v>1761</v>
      </c>
      <c r="D43" s="139">
        <v>52</v>
      </c>
      <c r="E43" s="140">
        <v>18400</v>
      </c>
    </row>
    <row r="44" spans="1:5" ht="15.75" customHeight="1">
      <c r="A44" s="106" t="s">
        <v>1293</v>
      </c>
      <c r="B44" s="138" t="s">
        <v>1775</v>
      </c>
      <c r="C44" s="139" t="s">
        <v>783</v>
      </c>
      <c r="D44" s="139" t="s">
        <v>1776</v>
      </c>
      <c r="E44" s="140">
        <v>3590</v>
      </c>
    </row>
    <row r="45" spans="1:5" ht="15.75" customHeight="1">
      <c r="A45" s="106" t="s">
        <v>1295</v>
      </c>
      <c r="B45" s="138" t="s">
        <v>1777</v>
      </c>
      <c r="C45" s="139" t="s">
        <v>1778</v>
      </c>
      <c r="D45" s="139">
        <v>3952</v>
      </c>
      <c r="E45" s="140">
        <v>1400</v>
      </c>
    </row>
    <row r="46" spans="1:5" ht="15.75" customHeight="1">
      <c r="A46" s="106" t="s">
        <v>1297</v>
      </c>
      <c r="B46" s="138" t="s">
        <v>1779</v>
      </c>
      <c r="C46" s="139" t="s">
        <v>1780</v>
      </c>
      <c r="D46" s="139">
        <v>62</v>
      </c>
      <c r="E46" s="140">
        <v>83775</v>
      </c>
    </row>
    <row r="47" spans="1:5" ht="15.75" customHeight="1">
      <c r="A47" s="106" t="s">
        <v>1301</v>
      </c>
      <c r="B47" s="138" t="s">
        <v>1781</v>
      </c>
      <c r="C47" s="139" t="s">
        <v>1321</v>
      </c>
      <c r="D47" s="139" t="s">
        <v>1782</v>
      </c>
      <c r="E47" s="140">
        <v>3580</v>
      </c>
    </row>
    <row r="48" spans="1:5" ht="15.75" customHeight="1">
      <c r="A48" s="106" t="s">
        <v>1303</v>
      </c>
      <c r="B48" s="135" t="s">
        <v>1783</v>
      </c>
      <c r="C48" s="100" t="s">
        <v>828</v>
      </c>
      <c r="D48" s="139" t="s">
        <v>1784</v>
      </c>
      <c r="E48" s="140">
        <v>106700</v>
      </c>
    </row>
    <row r="49" spans="1:5" ht="15.75" customHeight="1">
      <c r="A49" s="106" t="s">
        <v>1306</v>
      </c>
      <c r="B49" s="135" t="s">
        <v>1785</v>
      </c>
      <c r="C49" s="100" t="s">
        <v>1786</v>
      </c>
      <c r="D49" s="139">
        <v>9122</v>
      </c>
      <c r="E49" s="140">
        <v>39600</v>
      </c>
    </row>
    <row r="50" spans="1:5" ht="15.75" customHeight="1">
      <c r="A50" s="106" t="s">
        <v>1310</v>
      </c>
      <c r="B50" s="138" t="s">
        <v>1768</v>
      </c>
      <c r="C50" s="139" t="s">
        <v>783</v>
      </c>
      <c r="D50" s="139" t="s">
        <v>1787</v>
      </c>
      <c r="E50" s="140">
        <v>17800</v>
      </c>
    </row>
    <row r="51" spans="1:5" ht="15.75" customHeight="1">
      <c r="A51" s="106" t="s">
        <v>1312</v>
      </c>
      <c r="B51" s="109" t="s">
        <v>1788</v>
      </c>
      <c r="C51" s="42" t="s">
        <v>1789</v>
      </c>
      <c r="D51" s="107">
        <v>111</v>
      </c>
      <c r="E51" s="44">
        <v>64810</v>
      </c>
    </row>
    <row r="52" spans="1:5" ht="15.75" customHeight="1">
      <c r="A52" s="106" t="s">
        <v>1314</v>
      </c>
      <c r="B52" s="109" t="s">
        <v>1790</v>
      </c>
      <c r="C52" s="139" t="s">
        <v>783</v>
      </c>
      <c r="D52" s="107" t="s">
        <v>1791</v>
      </c>
      <c r="E52" s="44">
        <v>8121</v>
      </c>
    </row>
    <row r="53" spans="1:5" ht="15.75" customHeight="1">
      <c r="A53" s="106" t="s">
        <v>1316</v>
      </c>
      <c r="B53" s="135" t="s">
        <v>1792</v>
      </c>
      <c r="C53" s="100" t="s">
        <v>783</v>
      </c>
      <c r="D53" s="139" t="s">
        <v>1793</v>
      </c>
      <c r="E53" s="140">
        <v>25500</v>
      </c>
    </row>
    <row r="54" spans="1:5" ht="15.75" customHeight="1">
      <c r="A54" s="108" t="s">
        <v>24</v>
      </c>
      <c r="B54" s="214"/>
      <c r="C54" s="204"/>
      <c r="D54" s="205"/>
      <c r="E54" s="49">
        <f>SUM(E12:E53)</f>
        <v>21156876.369999997</v>
      </c>
    </row>
    <row r="55" spans="1:5" ht="15.75" customHeight="1">
      <c r="A55" s="211"/>
      <c r="B55" s="196"/>
      <c r="C55" s="196"/>
      <c r="D55" s="196"/>
      <c r="E55" s="196"/>
    </row>
    <row r="56" spans="1:5" ht="15.75" customHeight="1">
      <c r="A56" s="211" t="s">
        <v>1794</v>
      </c>
      <c r="B56" s="196"/>
      <c r="C56" s="196"/>
      <c r="D56" s="196"/>
      <c r="E56" s="27">
        <f>IF(E54&gt;=10000000,5000000*2%+5000000*1%+(E54-10000000)*0.5%,IF(E54&gt;=5000000,5000000*2%+(E54-5000000)*1%,E54*2%))</f>
        <v>205784.38185000001</v>
      </c>
    </row>
    <row r="57" spans="1:5" ht="14.25" customHeight="1">
      <c r="A57" s="211" t="s">
        <v>25</v>
      </c>
      <c r="B57" s="196"/>
      <c r="C57" s="196"/>
      <c r="D57" s="196"/>
      <c r="E57" s="196"/>
    </row>
    <row r="58" spans="1:5" ht="35.25" customHeight="1">
      <c r="A58" s="211"/>
      <c r="B58" s="196"/>
      <c r="C58" s="196"/>
      <c r="D58" s="196"/>
      <c r="E58" s="196"/>
    </row>
    <row r="59" spans="1:5" ht="15.75" customHeight="1">
      <c r="A59" s="211" t="s">
        <v>26</v>
      </c>
      <c r="B59" s="196"/>
      <c r="C59" s="196"/>
      <c r="D59" s="196"/>
      <c r="E59" s="196"/>
    </row>
    <row r="60" spans="1:5" ht="15.75" customHeight="1">
      <c r="A60" s="211" t="s">
        <v>27</v>
      </c>
      <c r="B60" s="196"/>
      <c r="C60" s="196"/>
      <c r="D60" s="196"/>
      <c r="E60" s="196"/>
    </row>
    <row r="61" spans="1:5" ht="15.75" customHeight="1">
      <c r="A61" s="211" t="s">
        <v>28</v>
      </c>
      <c r="B61" s="196"/>
      <c r="C61" s="196"/>
      <c r="D61" s="196"/>
      <c r="E61" s="196"/>
    </row>
  </sheetData>
  <mergeCells count="18">
    <mergeCell ref="A61:E61"/>
    <mergeCell ref="A8:E8"/>
    <mergeCell ref="A9:E9"/>
    <mergeCell ref="A10:E10"/>
    <mergeCell ref="B54:D54"/>
    <mergeCell ref="A55:E55"/>
    <mergeCell ref="A56:D56"/>
    <mergeCell ref="A57:E57"/>
    <mergeCell ref="A6:E6"/>
    <mergeCell ref="A7:E7"/>
    <mergeCell ref="A58:E58"/>
    <mergeCell ref="A59:E59"/>
    <mergeCell ref="A60:E60"/>
    <mergeCell ref="A1:E1"/>
    <mergeCell ref="A2:E2"/>
    <mergeCell ref="A3:E3"/>
    <mergeCell ref="A4:E4"/>
    <mergeCell ref="A5:E5"/>
  </mergeCells>
  <conditionalFormatting sqref="E12:E53">
    <cfRule type="notContainsBlanks" dxfId="41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  <pageSetUpPr fitToPage="1"/>
  </sheetPr>
  <dimension ref="A1:E49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1795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06" t="s">
        <v>1209</v>
      </c>
      <c r="B12" s="132" t="s">
        <v>1717</v>
      </c>
      <c r="C12" s="133" t="s">
        <v>1718</v>
      </c>
      <c r="D12" s="133">
        <v>15</v>
      </c>
      <c r="E12" s="134">
        <v>262656</v>
      </c>
    </row>
    <row r="13" spans="1:5" ht="15.75" customHeight="1">
      <c r="A13" s="106" t="s">
        <v>1212</v>
      </c>
      <c r="B13" s="132" t="s">
        <v>1721</v>
      </c>
      <c r="C13" s="133" t="s">
        <v>1589</v>
      </c>
      <c r="D13" s="133" t="s">
        <v>1722</v>
      </c>
      <c r="E13" s="134">
        <v>246580</v>
      </c>
    </row>
    <row r="14" spans="1:5" ht="15.75" customHeight="1">
      <c r="A14" s="106" t="s">
        <v>1215</v>
      </c>
      <c r="B14" s="135" t="s">
        <v>1723</v>
      </c>
      <c r="C14" s="100" t="s">
        <v>1724</v>
      </c>
      <c r="D14" s="133">
        <v>431</v>
      </c>
      <c r="E14" s="102">
        <v>1686585.74</v>
      </c>
    </row>
    <row r="15" spans="1:5" ht="15.75" customHeight="1">
      <c r="A15" s="106" t="s">
        <v>1217</v>
      </c>
      <c r="B15" s="135" t="s">
        <v>1725</v>
      </c>
      <c r="C15" s="100" t="s">
        <v>45</v>
      </c>
      <c r="D15" s="136" t="s">
        <v>1726</v>
      </c>
      <c r="E15" s="102">
        <v>106963</v>
      </c>
    </row>
    <row r="16" spans="1:5" ht="15.75" customHeight="1">
      <c r="A16" s="106" t="s">
        <v>1221</v>
      </c>
      <c r="B16" s="135" t="s">
        <v>1727</v>
      </c>
      <c r="C16" s="133" t="s">
        <v>1728</v>
      </c>
      <c r="D16" s="136">
        <v>158271454</v>
      </c>
      <c r="E16" s="102">
        <v>2560</v>
      </c>
    </row>
    <row r="17" spans="1:5">
      <c r="A17" s="106" t="s">
        <v>1224</v>
      </c>
      <c r="B17" s="135" t="s">
        <v>1729</v>
      </c>
      <c r="C17" s="133" t="s">
        <v>143</v>
      </c>
      <c r="D17" s="136">
        <v>1022</v>
      </c>
      <c r="E17" s="102">
        <v>86810</v>
      </c>
    </row>
    <row r="18" spans="1:5" ht="15.75" customHeight="1">
      <c r="A18" s="106" t="s">
        <v>1226</v>
      </c>
      <c r="B18" s="135" t="s">
        <v>1732</v>
      </c>
      <c r="C18" s="100" t="s">
        <v>1733</v>
      </c>
      <c r="D18" s="136" t="s">
        <v>1734</v>
      </c>
      <c r="E18" s="102">
        <v>24750</v>
      </c>
    </row>
    <row r="19" spans="1:5" ht="15.75" customHeight="1">
      <c r="A19" s="106" t="s">
        <v>1228</v>
      </c>
      <c r="B19" s="132" t="s">
        <v>1736</v>
      </c>
      <c r="C19" s="133" t="s">
        <v>1493</v>
      </c>
      <c r="D19" s="133" t="s">
        <v>1737</v>
      </c>
      <c r="E19" s="134">
        <v>292800</v>
      </c>
    </row>
    <row r="20" spans="1:5" ht="15.75" customHeight="1">
      <c r="A20" s="106" t="s">
        <v>1230</v>
      </c>
      <c r="B20" s="135" t="s">
        <v>1738</v>
      </c>
      <c r="C20" s="133" t="s">
        <v>1739</v>
      </c>
      <c r="D20" s="133" t="s">
        <v>1740</v>
      </c>
      <c r="E20" s="102">
        <v>76251</v>
      </c>
    </row>
    <row r="21" spans="1:5" ht="15.75" customHeight="1">
      <c r="A21" s="106" t="s">
        <v>1232</v>
      </c>
      <c r="B21" s="135" t="s">
        <v>1741</v>
      </c>
      <c r="C21" s="133" t="s">
        <v>1742</v>
      </c>
      <c r="D21" s="133">
        <v>84</v>
      </c>
      <c r="E21" s="102">
        <v>11200</v>
      </c>
    </row>
    <row r="22" spans="1:5" ht="15.75" customHeight="1">
      <c r="A22" s="106" t="s">
        <v>1234</v>
      </c>
      <c r="B22" s="135" t="s">
        <v>1743</v>
      </c>
      <c r="C22" s="100" t="s">
        <v>828</v>
      </c>
      <c r="D22" s="133" t="s">
        <v>1744</v>
      </c>
      <c r="E22" s="102">
        <v>3840</v>
      </c>
    </row>
    <row r="23" spans="1:5" ht="15.75" customHeight="1">
      <c r="A23" s="106" t="s">
        <v>1236</v>
      </c>
      <c r="B23" s="135" t="s">
        <v>1747</v>
      </c>
      <c r="C23" s="100" t="s">
        <v>1748</v>
      </c>
      <c r="D23" s="133">
        <v>279</v>
      </c>
      <c r="E23" s="102">
        <v>3794999.8</v>
      </c>
    </row>
    <row r="24" spans="1:5" ht="15.75" customHeight="1">
      <c r="A24" s="106" t="s">
        <v>1240</v>
      </c>
      <c r="B24" s="135" t="s">
        <v>1749</v>
      </c>
      <c r="C24" s="133" t="s">
        <v>1750</v>
      </c>
      <c r="D24" s="133">
        <v>602</v>
      </c>
      <c r="E24" s="102">
        <v>19810</v>
      </c>
    </row>
    <row r="25" spans="1:5" ht="15.75" customHeight="1">
      <c r="A25" s="106" t="s">
        <v>1242</v>
      </c>
      <c r="B25" s="135" t="s">
        <v>1751</v>
      </c>
      <c r="C25" s="133" t="s">
        <v>1549</v>
      </c>
      <c r="D25" s="133">
        <v>55</v>
      </c>
      <c r="E25" s="102">
        <v>10793</v>
      </c>
    </row>
    <row r="26" spans="1:5" ht="15.75" customHeight="1">
      <c r="A26" s="106" t="s">
        <v>1245</v>
      </c>
      <c r="B26" s="135" t="s">
        <v>1757</v>
      </c>
      <c r="C26" s="133" t="s">
        <v>1728</v>
      </c>
      <c r="D26" s="133">
        <v>158764430</v>
      </c>
      <c r="E26" s="102">
        <v>16832</v>
      </c>
    </row>
    <row r="27" spans="1:5" ht="15.75" customHeight="1">
      <c r="A27" s="106" t="s">
        <v>1247</v>
      </c>
      <c r="B27" s="135" t="s">
        <v>1758</v>
      </c>
      <c r="C27" s="133" t="s">
        <v>1759</v>
      </c>
      <c r="D27" s="133">
        <v>5069</v>
      </c>
      <c r="E27" s="102">
        <v>57000</v>
      </c>
    </row>
    <row r="28" spans="1:5" ht="15.75" customHeight="1">
      <c r="A28" s="106" t="s">
        <v>1249</v>
      </c>
      <c r="B28" s="138" t="s">
        <v>1711</v>
      </c>
      <c r="C28" s="139" t="s">
        <v>629</v>
      </c>
      <c r="D28" s="139" t="s">
        <v>1712</v>
      </c>
      <c r="E28" s="140">
        <v>20300</v>
      </c>
    </row>
    <row r="29" spans="1:5" ht="15.75" customHeight="1">
      <c r="A29" s="106" t="s">
        <v>1252</v>
      </c>
      <c r="B29" s="138" t="s">
        <v>1760</v>
      </c>
      <c r="C29" s="139" t="s">
        <v>1761</v>
      </c>
      <c r="D29" s="139">
        <v>48</v>
      </c>
      <c r="E29" s="140">
        <v>23966</v>
      </c>
    </row>
    <row r="30" spans="1:5" ht="15.75" customHeight="1">
      <c r="A30" s="106" t="s">
        <v>1255</v>
      </c>
      <c r="B30" s="138" t="s">
        <v>1762</v>
      </c>
      <c r="C30" s="139" t="s">
        <v>355</v>
      </c>
      <c r="D30" s="139">
        <v>195</v>
      </c>
      <c r="E30" s="140">
        <v>3830</v>
      </c>
    </row>
    <row r="31" spans="1:5" ht="15.75" customHeight="1">
      <c r="A31" s="106" t="s">
        <v>1257</v>
      </c>
      <c r="B31" s="138" t="s">
        <v>1763</v>
      </c>
      <c r="C31" s="139" t="s">
        <v>1514</v>
      </c>
      <c r="D31" s="139" t="s">
        <v>1764</v>
      </c>
      <c r="E31" s="140">
        <v>25300</v>
      </c>
    </row>
    <row r="32" spans="1:5" ht="15.75" customHeight="1">
      <c r="A32" s="106" t="s">
        <v>1259</v>
      </c>
      <c r="B32" s="138" t="s">
        <v>1768</v>
      </c>
      <c r="C32" s="139" t="s">
        <v>783</v>
      </c>
      <c r="D32" s="139" t="s">
        <v>1769</v>
      </c>
      <c r="E32" s="140">
        <v>16500</v>
      </c>
    </row>
    <row r="33" spans="1:5" ht="15.75" customHeight="1">
      <c r="A33" s="106" t="s">
        <v>1263</v>
      </c>
      <c r="B33" s="138" t="s">
        <v>1770</v>
      </c>
      <c r="C33" s="139" t="s">
        <v>1771</v>
      </c>
      <c r="D33" s="139" t="s">
        <v>1772</v>
      </c>
      <c r="E33" s="140">
        <v>13299</v>
      </c>
    </row>
    <row r="34" spans="1:5" ht="15.75" customHeight="1">
      <c r="A34" s="106" t="s">
        <v>1267</v>
      </c>
      <c r="B34" s="138" t="s">
        <v>1773</v>
      </c>
      <c r="C34" s="139" t="s">
        <v>218</v>
      </c>
      <c r="D34" s="139">
        <v>50</v>
      </c>
      <c r="E34" s="140">
        <v>130000</v>
      </c>
    </row>
    <row r="35" spans="1:5" ht="15.75" customHeight="1">
      <c r="A35" s="106" t="s">
        <v>1270</v>
      </c>
      <c r="B35" s="138" t="s">
        <v>1774</v>
      </c>
      <c r="C35" s="139" t="s">
        <v>1761</v>
      </c>
      <c r="D35" s="139">
        <v>52</v>
      </c>
      <c r="E35" s="140">
        <v>18400</v>
      </c>
    </row>
    <row r="36" spans="1:5" ht="15.75" customHeight="1">
      <c r="A36" s="106" t="s">
        <v>1273</v>
      </c>
      <c r="B36" s="138" t="s">
        <v>1775</v>
      </c>
      <c r="C36" s="139" t="s">
        <v>783</v>
      </c>
      <c r="D36" s="139" t="s">
        <v>1776</v>
      </c>
      <c r="E36" s="140">
        <v>3590</v>
      </c>
    </row>
    <row r="37" spans="1:5" ht="15.75" customHeight="1">
      <c r="A37" s="106" t="s">
        <v>1275</v>
      </c>
      <c r="B37" s="138" t="s">
        <v>1777</v>
      </c>
      <c r="C37" s="139" t="s">
        <v>1778</v>
      </c>
      <c r="D37" s="139">
        <v>3952</v>
      </c>
      <c r="E37" s="140">
        <v>1400</v>
      </c>
    </row>
    <row r="38" spans="1:5" ht="15.75" customHeight="1">
      <c r="A38" s="106" t="s">
        <v>1278</v>
      </c>
      <c r="B38" s="135" t="s">
        <v>1785</v>
      </c>
      <c r="C38" s="100" t="s">
        <v>1786</v>
      </c>
      <c r="D38" s="139">
        <v>9122</v>
      </c>
      <c r="E38" s="140">
        <v>39600</v>
      </c>
    </row>
    <row r="39" spans="1:5" ht="15.75" customHeight="1">
      <c r="A39" s="106" t="s">
        <v>1281</v>
      </c>
      <c r="B39" s="138" t="s">
        <v>1768</v>
      </c>
      <c r="C39" s="139" t="s">
        <v>783</v>
      </c>
      <c r="D39" s="139" t="s">
        <v>1787</v>
      </c>
      <c r="E39" s="140">
        <v>17800</v>
      </c>
    </row>
    <row r="40" spans="1:5" ht="15.75" customHeight="1">
      <c r="A40" s="106" t="s">
        <v>1284</v>
      </c>
      <c r="B40" s="109" t="s">
        <v>1788</v>
      </c>
      <c r="C40" s="42" t="s">
        <v>1789</v>
      </c>
      <c r="D40" s="107">
        <v>111</v>
      </c>
      <c r="E40" s="44">
        <v>64292.6</v>
      </c>
    </row>
    <row r="41" spans="1:5" ht="15.75" customHeight="1">
      <c r="A41" s="106" t="s">
        <v>1286</v>
      </c>
      <c r="B41" s="135" t="s">
        <v>1792</v>
      </c>
      <c r="C41" s="100" t="s">
        <v>783</v>
      </c>
      <c r="D41" s="139" t="s">
        <v>1793</v>
      </c>
      <c r="E41" s="140">
        <v>25500</v>
      </c>
    </row>
    <row r="42" spans="1:5" ht="15.75" customHeight="1">
      <c r="A42" s="108" t="s">
        <v>24</v>
      </c>
      <c r="B42" s="214"/>
      <c r="C42" s="204"/>
      <c r="D42" s="205"/>
      <c r="E42" s="49">
        <f>SUM(E12:E41)</f>
        <v>7104208.1399999997</v>
      </c>
    </row>
    <row r="43" spans="1:5" ht="15.75" customHeight="1">
      <c r="A43" s="211"/>
      <c r="B43" s="196"/>
      <c r="C43" s="196"/>
      <c r="D43" s="196"/>
      <c r="E43" s="196"/>
    </row>
    <row r="44" spans="1:5" ht="15.75" customHeight="1">
      <c r="A44" s="211" t="s">
        <v>1796</v>
      </c>
      <c r="B44" s="196"/>
      <c r="C44" s="196"/>
      <c r="D44" s="196"/>
      <c r="E44" s="27">
        <f>E42*8%</f>
        <v>568336.65119999996</v>
      </c>
    </row>
    <row r="45" spans="1:5" ht="14.25" customHeight="1">
      <c r="A45" s="211" t="s">
        <v>25</v>
      </c>
      <c r="B45" s="196"/>
      <c r="C45" s="196"/>
      <c r="D45" s="196"/>
      <c r="E45" s="196"/>
    </row>
    <row r="46" spans="1:5" ht="35.25" customHeight="1">
      <c r="A46" s="211"/>
      <c r="B46" s="196"/>
      <c r="C46" s="196"/>
      <c r="D46" s="196"/>
      <c r="E46" s="196"/>
    </row>
    <row r="47" spans="1:5" ht="15.75" customHeight="1">
      <c r="A47" s="211" t="s">
        <v>26</v>
      </c>
      <c r="B47" s="196"/>
      <c r="C47" s="196"/>
      <c r="D47" s="196"/>
      <c r="E47" s="196"/>
    </row>
    <row r="48" spans="1:5" ht="15.75" customHeight="1">
      <c r="A48" s="211" t="s">
        <v>27</v>
      </c>
      <c r="B48" s="196"/>
      <c r="C48" s="196"/>
      <c r="D48" s="196"/>
      <c r="E48" s="196"/>
    </row>
    <row r="49" spans="1:5" ht="15.75" customHeight="1">
      <c r="A49" s="211" t="s">
        <v>28</v>
      </c>
      <c r="B49" s="196"/>
      <c r="C49" s="196"/>
      <c r="D49" s="196"/>
      <c r="E49" s="196"/>
    </row>
  </sheetData>
  <mergeCells count="18">
    <mergeCell ref="A49:E49"/>
    <mergeCell ref="A8:E8"/>
    <mergeCell ref="A9:E9"/>
    <mergeCell ref="A10:E10"/>
    <mergeCell ref="B42:D42"/>
    <mergeCell ref="A43:E43"/>
    <mergeCell ref="A44:D44"/>
    <mergeCell ref="A45:E45"/>
    <mergeCell ref="A6:E6"/>
    <mergeCell ref="A7:E7"/>
    <mergeCell ref="A46:E46"/>
    <mergeCell ref="A47:E47"/>
    <mergeCell ref="A48:E48"/>
    <mergeCell ref="A1:E1"/>
    <mergeCell ref="A2:E2"/>
    <mergeCell ref="A3:E3"/>
    <mergeCell ref="A4:E4"/>
    <mergeCell ref="A5:E5"/>
  </mergeCells>
  <conditionalFormatting sqref="E12:E41">
    <cfRule type="notContainsBlanks" dxfId="40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  <pageSetUpPr fitToPage="1"/>
  </sheetPr>
  <dimension ref="A1:E54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1797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06" t="s">
        <v>1209</v>
      </c>
      <c r="B12" s="112" t="s">
        <v>1798</v>
      </c>
      <c r="C12" s="113" t="s">
        <v>1648</v>
      </c>
      <c r="D12" s="113">
        <v>3151</v>
      </c>
      <c r="E12" s="18">
        <v>124920</v>
      </c>
    </row>
    <row r="13" spans="1:5" ht="15.75" customHeight="1">
      <c r="A13" s="106" t="s">
        <v>1212</v>
      </c>
      <c r="B13" s="24" t="s">
        <v>1799</v>
      </c>
      <c r="C13" s="113" t="s">
        <v>1648</v>
      </c>
      <c r="D13" s="78">
        <v>3719</v>
      </c>
      <c r="E13" s="18">
        <v>98200</v>
      </c>
    </row>
    <row r="14" spans="1:5" ht="15.75" customHeight="1">
      <c r="A14" s="106" t="s">
        <v>1215</v>
      </c>
      <c r="B14" s="17" t="s">
        <v>1800</v>
      </c>
      <c r="C14" s="13" t="s">
        <v>334</v>
      </c>
      <c r="D14" s="98">
        <v>150034493</v>
      </c>
      <c r="E14" s="18">
        <v>48200</v>
      </c>
    </row>
    <row r="15" spans="1:5" ht="15.75" customHeight="1">
      <c r="A15" s="106" t="s">
        <v>1217</v>
      </c>
      <c r="B15" s="17" t="s">
        <v>1801</v>
      </c>
      <c r="C15" s="13" t="s">
        <v>1755</v>
      </c>
      <c r="D15" s="98" t="s">
        <v>1802</v>
      </c>
      <c r="E15" s="18">
        <v>93474</v>
      </c>
    </row>
    <row r="16" spans="1:5" ht="15.75" customHeight="1">
      <c r="A16" s="106" t="s">
        <v>1221</v>
      </c>
      <c r="B16" s="17" t="s">
        <v>1729</v>
      </c>
      <c r="C16" s="78" t="s">
        <v>143</v>
      </c>
      <c r="D16" s="98">
        <v>1022</v>
      </c>
      <c r="E16" s="18">
        <v>78690</v>
      </c>
    </row>
    <row r="17" spans="1:5" ht="15.75" customHeight="1">
      <c r="A17" s="106" t="s">
        <v>1224</v>
      </c>
      <c r="B17" s="17" t="s">
        <v>1803</v>
      </c>
      <c r="C17" s="13" t="s">
        <v>358</v>
      </c>
      <c r="D17" s="78" t="s">
        <v>1804</v>
      </c>
      <c r="E17" s="18">
        <v>1561979.52</v>
      </c>
    </row>
    <row r="18" spans="1:5" ht="15.75" customHeight="1">
      <c r="A18" s="106" t="s">
        <v>1226</v>
      </c>
      <c r="B18" s="17" t="s">
        <v>1805</v>
      </c>
      <c r="C18" s="13" t="s">
        <v>358</v>
      </c>
      <c r="D18" s="78" t="s">
        <v>1806</v>
      </c>
      <c r="E18" s="18">
        <v>4834306.4000000004</v>
      </c>
    </row>
    <row r="19" spans="1:5" ht="15.75" customHeight="1">
      <c r="A19" s="106" t="s">
        <v>1228</v>
      </c>
      <c r="B19" s="17" t="s">
        <v>1807</v>
      </c>
      <c r="C19" s="78" t="s">
        <v>1808</v>
      </c>
      <c r="D19" s="78">
        <v>151</v>
      </c>
      <c r="E19" s="18">
        <v>442000</v>
      </c>
    </row>
    <row r="20" spans="1:5" ht="15.75" customHeight="1">
      <c r="A20" s="106" t="s">
        <v>1230</v>
      </c>
      <c r="B20" s="135" t="s">
        <v>1809</v>
      </c>
      <c r="C20" s="100" t="s">
        <v>56</v>
      </c>
      <c r="D20" s="139">
        <v>15</v>
      </c>
      <c r="E20" s="140">
        <v>355925</v>
      </c>
    </row>
    <row r="21" spans="1:5" ht="15.75" customHeight="1">
      <c r="A21" s="106" t="s">
        <v>1232</v>
      </c>
      <c r="B21" s="135" t="s">
        <v>1810</v>
      </c>
      <c r="C21" s="100" t="s">
        <v>56</v>
      </c>
      <c r="D21" s="139">
        <v>58</v>
      </c>
      <c r="E21" s="140">
        <v>247129</v>
      </c>
    </row>
    <row r="22" spans="1:5" ht="15.75" customHeight="1">
      <c r="A22" s="106" t="s">
        <v>1234</v>
      </c>
      <c r="B22" s="135" t="s">
        <v>1811</v>
      </c>
      <c r="C22" s="100" t="s">
        <v>1812</v>
      </c>
      <c r="D22" s="139" t="s">
        <v>1813</v>
      </c>
      <c r="E22" s="140">
        <v>41801</v>
      </c>
    </row>
    <row r="23" spans="1:5" ht="15.75" customHeight="1">
      <c r="A23" s="106" t="s">
        <v>1236</v>
      </c>
      <c r="B23" s="135" t="s">
        <v>1814</v>
      </c>
      <c r="C23" s="100" t="s">
        <v>1815</v>
      </c>
      <c r="D23" s="139" t="s">
        <v>1816</v>
      </c>
      <c r="E23" s="140">
        <v>4592.3999999999996</v>
      </c>
    </row>
    <row r="24" spans="1:5" ht="15.75" customHeight="1">
      <c r="A24" s="106" t="s">
        <v>1240</v>
      </c>
      <c r="B24" s="135" t="s">
        <v>1817</v>
      </c>
      <c r="C24" s="100" t="s">
        <v>45</v>
      </c>
      <c r="D24" s="139" t="s">
        <v>1818</v>
      </c>
      <c r="E24" s="140">
        <v>25662</v>
      </c>
    </row>
    <row r="25" spans="1:5" ht="15.75" customHeight="1">
      <c r="A25" s="106" t="s">
        <v>1242</v>
      </c>
      <c r="B25" s="135" t="s">
        <v>1819</v>
      </c>
      <c r="C25" s="100" t="s">
        <v>1820</v>
      </c>
      <c r="D25" s="139">
        <v>50</v>
      </c>
      <c r="E25" s="140">
        <v>11176527</v>
      </c>
    </row>
    <row r="26" spans="1:5" ht="15.75" customHeight="1">
      <c r="A26" s="106" t="s">
        <v>1245</v>
      </c>
      <c r="B26" s="135" t="s">
        <v>1821</v>
      </c>
      <c r="C26" s="100" t="s">
        <v>1728</v>
      </c>
      <c r="D26" s="139">
        <v>161196522</v>
      </c>
      <c r="E26" s="140">
        <v>20328</v>
      </c>
    </row>
    <row r="27" spans="1:5" ht="15.75" customHeight="1">
      <c r="A27" s="106" t="s">
        <v>1247</v>
      </c>
      <c r="B27" s="135" t="s">
        <v>1822</v>
      </c>
      <c r="C27" s="100" t="s">
        <v>1823</v>
      </c>
      <c r="D27" s="139">
        <v>30</v>
      </c>
      <c r="E27" s="140">
        <v>68100</v>
      </c>
    </row>
    <row r="28" spans="1:5" ht="28.5" customHeight="1">
      <c r="A28" s="106" t="s">
        <v>1249</v>
      </c>
      <c r="B28" s="135" t="s">
        <v>1824</v>
      </c>
      <c r="C28" s="100" t="s">
        <v>1728</v>
      </c>
      <c r="D28" s="141" t="s">
        <v>1825</v>
      </c>
      <c r="E28" s="140">
        <v>122170</v>
      </c>
    </row>
    <row r="29" spans="1:5" ht="15.75" customHeight="1">
      <c r="A29" s="106" t="s">
        <v>1252</v>
      </c>
      <c r="B29" s="135" t="s">
        <v>1826</v>
      </c>
      <c r="C29" s="100" t="s">
        <v>1728</v>
      </c>
      <c r="D29" s="141">
        <v>161617111</v>
      </c>
      <c r="E29" s="140">
        <v>13749</v>
      </c>
    </row>
    <row r="30" spans="1:5" ht="16.5" customHeight="1">
      <c r="A30" s="106" t="s">
        <v>1255</v>
      </c>
      <c r="B30" s="135" t="s">
        <v>1827</v>
      </c>
      <c r="C30" s="142" t="s">
        <v>45</v>
      </c>
      <c r="D30" s="141" t="s">
        <v>1828</v>
      </c>
      <c r="E30" s="140">
        <v>17688</v>
      </c>
    </row>
    <row r="31" spans="1:5" ht="17.25" customHeight="1">
      <c r="A31" s="106" t="s">
        <v>1257</v>
      </c>
      <c r="B31" s="135" t="s">
        <v>1829</v>
      </c>
      <c r="C31" s="142" t="s">
        <v>1514</v>
      </c>
      <c r="D31" s="141" t="s">
        <v>1830</v>
      </c>
      <c r="E31" s="140">
        <v>5950</v>
      </c>
    </row>
    <row r="32" spans="1:5" ht="17.25" customHeight="1">
      <c r="A32" s="106" t="s">
        <v>1259</v>
      </c>
      <c r="B32" s="135" t="s">
        <v>1831</v>
      </c>
      <c r="C32" s="142" t="s">
        <v>1832</v>
      </c>
      <c r="D32" s="141" t="s">
        <v>1833</v>
      </c>
      <c r="E32" s="140">
        <v>19510</v>
      </c>
    </row>
    <row r="33" spans="1:5" ht="17.25" customHeight="1">
      <c r="A33" s="106" t="s">
        <v>1263</v>
      </c>
      <c r="B33" s="135" t="s">
        <v>1834</v>
      </c>
      <c r="C33" s="142" t="s">
        <v>1786</v>
      </c>
      <c r="D33" s="141">
        <v>9223</v>
      </c>
      <c r="E33" s="140">
        <v>39540</v>
      </c>
    </row>
    <row r="34" spans="1:5" ht="17.25" customHeight="1">
      <c r="A34" s="106" t="s">
        <v>1267</v>
      </c>
      <c r="B34" s="135" t="s">
        <v>1835</v>
      </c>
      <c r="C34" s="142" t="s">
        <v>81</v>
      </c>
      <c r="D34" s="141" t="s">
        <v>1836</v>
      </c>
      <c r="E34" s="140">
        <v>15600</v>
      </c>
    </row>
    <row r="35" spans="1:5" ht="17.25" customHeight="1">
      <c r="A35" s="106" t="s">
        <v>1270</v>
      </c>
      <c r="B35" s="135" t="s">
        <v>1837</v>
      </c>
      <c r="C35" s="142" t="s">
        <v>81</v>
      </c>
      <c r="D35" s="141" t="s">
        <v>1838</v>
      </c>
      <c r="E35" s="140">
        <v>22050</v>
      </c>
    </row>
    <row r="36" spans="1:5" ht="17.25" customHeight="1">
      <c r="A36" s="106" t="s">
        <v>1273</v>
      </c>
      <c r="B36" s="135" t="s">
        <v>1839</v>
      </c>
      <c r="C36" s="142" t="s">
        <v>1786</v>
      </c>
      <c r="D36" s="141">
        <v>9266</v>
      </c>
      <c r="E36" s="140">
        <v>34430</v>
      </c>
    </row>
    <row r="37" spans="1:5" ht="15.75" customHeight="1">
      <c r="A37" s="106" t="s">
        <v>1275</v>
      </c>
      <c r="B37" s="138" t="s">
        <v>1840</v>
      </c>
      <c r="C37" s="139" t="s">
        <v>1748</v>
      </c>
      <c r="D37" s="139">
        <v>355</v>
      </c>
      <c r="E37" s="140">
        <v>50000</v>
      </c>
    </row>
    <row r="38" spans="1:5" ht="15.75" customHeight="1">
      <c r="A38" s="106" t="s">
        <v>1278</v>
      </c>
      <c r="B38" s="138" t="s">
        <v>1841</v>
      </c>
      <c r="C38" s="139" t="s">
        <v>1842</v>
      </c>
      <c r="D38" s="139">
        <v>1</v>
      </c>
      <c r="E38" s="140">
        <v>226560</v>
      </c>
    </row>
    <row r="39" spans="1:5" ht="15.75" customHeight="1">
      <c r="A39" s="106" t="s">
        <v>1281</v>
      </c>
      <c r="B39" s="24" t="s">
        <v>1304</v>
      </c>
      <c r="C39" s="113" t="s">
        <v>1843</v>
      </c>
      <c r="D39" s="107">
        <v>270</v>
      </c>
      <c r="E39" s="44">
        <v>33600</v>
      </c>
    </row>
    <row r="40" spans="1:5" ht="15.75" customHeight="1">
      <c r="A40" s="106" t="s">
        <v>1284</v>
      </c>
      <c r="B40" s="24" t="s">
        <v>1844</v>
      </c>
      <c r="C40" s="142" t="s">
        <v>81</v>
      </c>
      <c r="D40" s="107" t="s">
        <v>1845</v>
      </c>
      <c r="E40" s="44">
        <v>5201</v>
      </c>
    </row>
    <row r="41" spans="1:5" ht="15.75" customHeight="1">
      <c r="A41" s="106" t="s">
        <v>1286</v>
      </c>
      <c r="B41" s="109" t="s">
        <v>1846</v>
      </c>
      <c r="C41" s="100" t="s">
        <v>1786</v>
      </c>
      <c r="D41" s="107">
        <v>9171</v>
      </c>
      <c r="E41" s="44">
        <v>91300</v>
      </c>
    </row>
    <row r="42" spans="1:5" ht="15.75" customHeight="1">
      <c r="A42" s="106" t="s">
        <v>1288</v>
      </c>
      <c r="B42" s="135" t="s">
        <v>1847</v>
      </c>
      <c r="C42" s="100" t="s">
        <v>1848</v>
      </c>
      <c r="D42" s="136" t="s">
        <v>1849</v>
      </c>
      <c r="E42" s="102">
        <v>99000</v>
      </c>
    </row>
    <row r="43" spans="1:5" ht="15.75" customHeight="1">
      <c r="A43" s="106" t="s">
        <v>1290</v>
      </c>
      <c r="B43" s="135" t="s">
        <v>1850</v>
      </c>
      <c r="C43" s="100" t="s">
        <v>1851</v>
      </c>
      <c r="D43" s="136" t="s">
        <v>1852</v>
      </c>
      <c r="E43" s="102">
        <v>58299</v>
      </c>
    </row>
    <row r="44" spans="1:5" ht="15.75" customHeight="1">
      <c r="A44" s="106" t="s">
        <v>1293</v>
      </c>
      <c r="B44" s="135" t="s">
        <v>1853</v>
      </c>
      <c r="C44" s="100" t="s">
        <v>1851</v>
      </c>
      <c r="D44" s="136" t="s">
        <v>1854</v>
      </c>
      <c r="E44" s="102">
        <v>22599</v>
      </c>
    </row>
    <row r="45" spans="1:5" ht="15.75" customHeight="1">
      <c r="A45" s="106" t="s">
        <v>1295</v>
      </c>
      <c r="B45" s="135" t="s">
        <v>1855</v>
      </c>
      <c r="C45" s="100" t="s">
        <v>378</v>
      </c>
      <c r="D45" s="136">
        <v>2903</v>
      </c>
      <c r="E45" s="102">
        <v>46740</v>
      </c>
    </row>
    <row r="46" spans="1:5" ht="15.75" customHeight="1">
      <c r="A46" s="106" t="s">
        <v>1297</v>
      </c>
      <c r="B46" s="138" t="s">
        <v>1856</v>
      </c>
      <c r="C46" s="139" t="s">
        <v>1857</v>
      </c>
      <c r="D46" s="139" t="s">
        <v>1858</v>
      </c>
      <c r="E46" s="140">
        <v>7000</v>
      </c>
    </row>
    <row r="47" spans="1:5" ht="15.75" customHeight="1">
      <c r="A47" s="108" t="s">
        <v>24</v>
      </c>
      <c r="B47" s="203"/>
      <c r="C47" s="204"/>
      <c r="D47" s="205"/>
      <c r="E47" s="49">
        <f>SUM(E12:E46)</f>
        <v>20152820.32</v>
      </c>
    </row>
    <row r="48" spans="1:5" ht="15.75" customHeight="1">
      <c r="A48" s="211"/>
      <c r="B48" s="196"/>
      <c r="C48" s="196"/>
      <c r="D48" s="196"/>
      <c r="E48" s="196"/>
    </row>
    <row r="49" spans="1:5" ht="15.75" customHeight="1">
      <c r="A49" s="211" t="s">
        <v>1859</v>
      </c>
      <c r="B49" s="196"/>
      <c r="C49" s="196"/>
      <c r="D49" s="196"/>
      <c r="E49" s="27">
        <f>IF(E47&gt;=10000000,5000000*2%+5000000*1%+(E47-10000000)*0.5%,IF(E47&gt;=5000000,5000000*2%+(E47-5000000)*1%,E47*2%))</f>
        <v>200764.10159999999</v>
      </c>
    </row>
    <row r="50" spans="1:5" ht="14.25" customHeight="1">
      <c r="A50" s="211" t="s">
        <v>25</v>
      </c>
      <c r="B50" s="196"/>
      <c r="C50" s="196"/>
      <c r="D50" s="196"/>
      <c r="E50" s="196"/>
    </row>
    <row r="51" spans="1:5" ht="35.25" customHeight="1">
      <c r="A51" s="211"/>
      <c r="B51" s="196"/>
      <c r="C51" s="196"/>
      <c r="D51" s="196"/>
      <c r="E51" s="196"/>
    </row>
    <row r="52" spans="1:5" ht="15.75" customHeight="1">
      <c r="A52" s="211" t="s">
        <v>26</v>
      </c>
      <c r="B52" s="196"/>
      <c r="C52" s="196"/>
      <c r="D52" s="196"/>
      <c r="E52" s="196"/>
    </row>
    <row r="53" spans="1:5" ht="15.75" customHeight="1">
      <c r="A53" s="211" t="s">
        <v>27</v>
      </c>
      <c r="B53" s="196"/>
      <c r="C53" s="196"/>
      <c r="D53" s="196"/>
      <c r="E53" s="196"/>
    </row>
    <row r="54" spans="1:5" ht="15.75" customHeight="1">
      <c r="A54" s="211" t="s">
        <v>28</v>
      </c>
      <c r="B54" s="196"/>
      <c r="C54" s="196"/>
      <c r="D54" s="196"/>
      <c r="E54" s="196"/>
    </row>
  </sheetData>
  <mergeCells count="18">
    <mergeCell ref="A54:E54"/>
    <mergeCell ref="A8:E8"/>
    <mergeCell ref="A9:E9"/>
    <mergeCell ref="A10:E10"/>
    <mergeCell ref="B47:D47"/>
    <mergeCell ref="A48:E48"/>
    <mergeCell ref="A49:D49"/>
    <mergeCell ref="A50:E50"/>
    <mergeCell ref="A6:E6"/>
    <mergeCell ref="A7:E7"/>
    <mergeCell ref="A51:E51"/>
    <mergeCell ref="A52:E52"/>
    <mergeCell ref="A53:E53"/>
    <mergeCell ref="A1:E1"/>
    <mergeCell ref="A2:E2"/>
    <mergeCell ref="A3:E3"/>
    <mergeCell ref="A4:E4"/>
    <mergeCell ref="A5:E5"/>
  </mergeCells>
  <conditionalFormatting sqref="E12:E46">
    <cfRule type="notContainsBlanks" dxfId="39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  <pageSetUpPr fitToPage="1"/>
  </sheetPr>
  <dimension ref="A1:E42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1860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06" t="s">
        <v>1209</v>
      </c>
      <c r="B12" s="24" t="s">
        <v>1799</v>
      </c>
      <c r="C12" s="113" t="s">
        <v>1648</v>
      </c>
      <c r="D12" s="78">
        <v>3719</v>
      </c>
      <c r="E12" s="18">
        <v>98200</v>
      </c>
    </row>
    <row r="13" spans="1:5" ht="15.75" customHeight="1">
      <c r="A13" s="106" t="s">
        <v>1212</v>
      </c>
      <c r="B13" s="17" t="s">
        <v>1800</v>
      </c>
      <c r="C13" s="13" t="s">
        <v>334</v>
      </c>
      <c r="D13" s="98">
        <v>150034493</v>
      </c>
      <c r="E13" s="18">
        <v>48200</v>
      </c>
    </row>
    <row r="14" spans="1:5" ht="15.75" customHeight="1">
      <c r="A14" s="106" t="s">
        <v>1215</v>
      </c>
      <c r="B14" s="17" t="s">
        <v>1801</v>
      </c>
      <c r="C14" s="13" t="s">
        <v>1755</v>
      </c>
      <c r="D14" s="98" t="s">
        <v>1802</v>
      </c>
      <c r="E14" s="18">
        <v>93474</v>
      </c>
    </row>
    <row r="15" spans="1:5" ht="15.75" customHeight="1">
      <c r="A15" s="106" t="s">
        <v>1217</v>
      </c>
      <c r="B15" s="17" t="s">
        <v>1729</v>
      </c>
      <c r="C15" s="78" t="s">
        <v>143</v>
      </c>
      <c r="D15" s="98">
        <v>1022</v>
      </c>
      <c r="E15" s="18">
        <v>78690</v>
      </c>
    </row>
    <row r="16" spans="1:5" ht="15.75" customHeight="1">
      <c r="A16" s="106" t="s">
        <v>1221</v>
      </c>
      <c r="B16" s="17" t="s">
        <v>1805</v>
      </c>
      <c r="C16" s="13" t="s">
        <v>358</v>
      </c>
      <c r="D16" s="78" t="s">
        <v>1806</v>
      </c>
      <c r="E16" s="18">
        <v>4834306.4000000004</v>
      </c>
    </row>
    <row r="17" spans="1:5" ht="15.75" customHeight="1">
      <c r="A17" s="106" t="s">
        <v>1224</v>
      </c>
      <c r="B17" s="135" t="s">
        <v>1809</v>
      </c>
      <c r="C17" s="100" t="s">
        <v>56</v>
      </c>
      <c r="D17" s="139">
        <v>15</v>
      </c>
      <c r="E17" s="140">
        <v>355925</v>
      </c>
    </row>
    <row r="18" spans="1:5" ht="15.75" customHeight="1">
      <c r="A18" s="106" t="s">
        <v>1226</v>
      </c>
      <c r="B18" s="135" t="s">
        <v>1810</v>
      </c>
      <c r="C18" s="100" t="s">
        <v>56</v>
      </c>
      <c r="D18" s="139">
        <v>58</v>
      </c>
      <c r="E18" s="140">
        <v>247129</v>
      </c>
    </row>
    <row r="19" spans="1:5" ht="15.75" customHeight="1">
      <c r="A19" s="106" t="s">
        <v>1228</v>
      </c>
      <c r="B19" s="135" t="s">
        <v>1811</v>
      </c>
      <c r="C19" s="100" t="s">
        <v>1812</v>
      </c>
      <c r="D19" s="139" t="s">
        <v>1813</v>
      </c>
      <c r="E19" s="140">
        <v>41209.9</v>
      </c>
    </row>
    <row r="20" spans="1:5" ht="15.75" customHeight="1">
      <c r="A20" s="106" t="s">
        <v>1230</v>
      </c>
      <c r="B20" s="135" t="s">
        <v>1817</v>
      </c>
      <c r="C20" s="100" t="s">
        <v>45</v>
      </c>
      <c r="D20" s="139" t="s">
        <v>1818</v>
      </c>
      <c r="E20" s="140">
        <v>25662</v>
      </c>
    </row>
    <row r="21" spans="1:5" ht="15.75" customHeight="1">
      <c r="A21" s="106" t="s">
        <v>1232</v>
      </c>
      <c r="B21" s="135" t="s">
        <v>1821</v>
      </c>
      <c r="C21" s="100" t="s">
        <v>1728</v>
      </c>
      <c r="D21" s="139">
        <v>161196522</v>
      </c>
      <c r="E21" s="140">
        <v>20328</v>
      </c>
    </row>
    <row r="22" spans="1:5" ht="15.75" customHeight="1">
      <c r="A22" s="106" t="s">
        <v>1234</v>
      </c>
      <c r="B22" s="135" t="s">
        <v>1822</v>
      </c>
      <c r="C22" s="100" t="s">
        <v>1823</v>
      </c>
      <c r="D22" s="139">
        <v>30</v>
      </c>
      <c r="E22" s="140">
        <v>68100</v>
      </c>
    </row>
    <row r="23" spans="1:5" ht="15.75" customHeight="1">
      <c r="A23" s="106" t="s">
        <v>1236</v>
      </c>
      <c r="B23" s="135" t="s">
        <v>1826</v>
      </c>
      <c r="C23" s="100" t="s">
        <v>1728</v>
      </c>
      <c r="D23" s="141">
        <v>161617111</v>
      </c>
      <c r="E23" s="140">
        <v>13749</v>
      </c>
    </row>
    <row r="24" spans="1:5" ht="16.5" customHeight="1">
      <c r="A24" s="106" t="s">
        <v>1240</v>
      </c>
      <c r="B24" s="135" t="s">
        <v>1827</v>
      </c>
      <c r="C24" s="142" t="s">
        <v>45</v>
      </c>
      <c r="D24" s="141" t="s">
        <v>1828</v>
      </c>
      <c r="E24" s="140">
        <v>17688</v>
      </c>
    </row>
    <row r="25" spans="1:5" ht="17.25" customHeight="1">
      <c r="A25" s="106" t="s">
        <v>1242</v>
      </c>
      <c r="B25" s="135" t="s">
        <v>1829</v>
      </c>
      <c r="C25" s="142" t="s">
        <v>1514</v>
      </c>
      <c r="D25" s="141" t="s">
        <v>1830</v>
      </c>
      <c r="E25" s="140">
        <v>5950</v>
      </c>
    </row>
    <row r="26" spans="1:5" ht="17.25" customHeight="1">
      <c r="A26" s="106" t="s">
        <v>1245</v>
      </c>
      <c r="B26" s="135" t="s">
        <v>1831</v>
      </c>
      <c r="C26" s="142" t="s">
        <v>1832</v>
      </c>
      <c r="D26" s="141" t="s">
        <v>1833</v>
      </c>
      <c r="E26" s="140">
        <v>19510</v>
      </c>
    </row>
    <row r="27" spans="1:5" ht="17.25" customHeight="1">
      <c r="A27" s="106" t="s">
        <v>1247</v>
      </c>
      <c r="B27" s="135" t="s">
        <v>1834</v>
      </c>
      <c r="C27" s="142" t="s">
        <v>1786</v>
      </c>
      <c r="D27" s="141">
        <v>9223</v>
      </c>
      <c r="E27" s="140">
        <v>39540</v>
      </c>
    </row>
    <row r="28" spans="1:5" ht="17.25" customHeight="1">
      <c r="A28" s="106" t="s">
        <v>1249</v>
      </c>
      <c r="B28" s="135" t="s">
        <v>1835</v>
      </c>
      <c r="C28" s="142" t="s">
        <v>81</v>
      </c>
      <c r="D28" s="141" t="s">
        <v>1836</v>
      </c>
      <c r="E28" s="140">
        <v>15600</v>
      </c>
    </row>
    <row r="29" spans="1:5" ht="17.25" customHeight="1">
      <c r="A29" s="106" t="s">
        <v>1252</v>
      </c>
      <c r="B29" s="135" t="s">
        <v>1837</v>
      </c>
      <c r="C29" s="142" t="s">
        <v>81</v>
      </c>
      <c r="D29" s="141" t="s">
        <v>1838</v>
      </c>
      <c r="E29" s="140">
        <v>22050</v>
      </c>
    </row>
    <row r="30" spans="1:5" ht="15.75" customHeight="1">
      <c r="A30" s="106" t="s">
        <v>1255</v>
      </c>
      <c r="B30" s="138" t="s">
        <v>1840</v>
      </c>
      <c r="C30" s="139" t="s">
        <v>1748</v>
      </c>
      <c r="D30" s="139">
        <v>355</v>
      </c>
      <c r="E30" s="140">
        <v>50000</v>
      </c>
    </row>
    <row r="31" spans="1:5" ht="15.75" customHeight="1">
      <c r="A31" s="106" t="s">
        <v>1257</v>
      </c>
      <c r="B31" s="24" t="s">
        <v>1844</v>
      </c>
      <c r="C31" s="142" t="s">
        <v>81</v>
      </c>
      <c r="D31" s="107" t="s">
        <v>1845</v>
      </c>
      <c r="E31" s="44">
        <v>5201</v>
      </c>
    </row>
    <row r="32" spans="1:5" ht="15.75" customHeight="1">
      <c r="A32" s="106" t="s">
        <v>1259</v>
      </c>
      <c r="B32" s="109" t="s">
        <v>1846</v>
      </c>
      <c r="C32" s="100" t="s">
        <v>1786</v>
      </c>
      <c r="D32" s="107">
        <v>9171</v>
      </c>
      <c r="E32" s="44">
        <v>91300</v>
      </c>
    </row>
    <row r="33" spans="1:5" ht="15.75" customHeight="1">
      <c r="A33" s="106" t="s">
        <v>1263</v>
      </c>
      <c r="B33" s="135" t="s">
        <v>1850</v>
      </c>
      <c r="C33" s="100" t="s">
        <v>1851</v>
      </c>
      <c r="D33" s="136" t="s">
        <v>1852</v>
      </c>
      <c r="E33" s="102">
        <v>58299</v>
      </c>
    </row>
    <row r="34" spans="1:5" ht="15.75" customHeight="1">
      <c r="A34" s="106" t="s">
        <v>1267</v>
      </c>
      <c r="B34" s="135" t="s">
        <v>1853</v>
      </c>
      <c r="C34" s="100" t="s">
        <v>1851</v>
      </c>
      <c r="D34" s="136" t="s">
        <v>1854</v>
      </c>
      <c r="E34" s="102">
        <v>22599</v>
      </c>
    </row>
    <row r="35" spans="1:5" ht="15.75" customHeight="1">
      <c r="A35" s="108" t="s">
        <v>24</v>
      </c>
      <c r="B35" s="203"/>
      <c r="C35" s="204"/>
      <c r="D35" s="205"/>
      <c r="E35" s="49">
        <f>SUM(E12:E34)</f>
        <v>6272710.3000000007</v>
      </c>
    </row>
    <row r="36" spans="1:5" ht="15.75" customHeight="1">
      <c r="A36" s="211"/>
      <c r="B36" s="196"/>
      <c r="C36" s="196"/>
      <c r="D36" s="196"/>
      <c r="E36" s="196"/>
    </row>
    <row r="37" spans="1:5" ht="15.75" customHeight="1">
      <c r="A37" s="211" t="s">
        <v>1861</v>
      </c>
      <c r="B37" s="196"/>
      <c r="C37" s="196"/>
      <c r="D37" s="196"/>
      <c r="E37" s="27">
        <f>E35*8%</f>
        <v>501816.82400000008</v>
      </c>
    </row>
    <row r="38" spans="1:5" ht="14.25" customHeight="1">
      <c r="A38" s="211" t="s">
        <v>25</v>
      </c>
      <c r="B38" s="196"/>
      <c r="C38" s="196"/>
      <c r="D38" s="196"/>
      <c r="E38" s="196"/>
    </row>
    <row r="39" spans="1:5" ht="35.25" customHeight="1">
      <c r="A39" s="211"/>
      <c r="B39" s="196"/>
      <c r="C39" s="196"/>
      <c r="D39" s="196"/>
      <c r="E39" s="196"/>
    </row>
    <row r="40" spans="1:5" ht="15.75" customHeight="1">
      <c r="A40" s="211" t="s">
        <v>26</v>
      </c>
      <c r="B40" s="196"/>
      <c r="C40" s="196"/>
      <c r="D40" s="196"/>
      <c r="E40" s="196"/>
    </row>
    <row r="41" spans="1:5" ht="15.75" customHeight="1">
      <c r="A41" s="211" t="s">
        <v>27</v>
      </c>
      <c r="B41" s="196"/>
      <c r="C41" s="196"/>
      <c r="D41" s="196"/>
      <c r="E41" s="196"/>
    </row>
    <row r="42" spans="1:5" ht="15.75" customHeight="1">
      <c r="A42" s="211" t="s">
        <v>28</v>
      </c>
      <c r="B42" s="196"/>
      <c r="C42" s="196"/>
      <c r="D42" s="196"/>
      <c r="E42" s="196"/>
    </row>
  </sheetData>
  <mergeCells count="18">
    <mergeCell ref="A42:E42"/>
    <mergeCell ref="A8:E8"/>
    <mergeCell ref="A9:E9"/>
    <mergeCell ref="A10:E10"/>
    <mergeCell ref="B35:D35"/>
    <mergeCell ref="A36:E36"/>
    <mergeCell ref="A37:D37"/>
    <mergeCell ref="A38:E38"/>
    <mergeCell ref="A6:E6"/>
    <mergeCell ref="A7:E7"/>
    <mergeCell ref="A39:E39"/>
    <mergeCell ref="A40:E40"/>
    <mergeCell ref="A41:E41"/>
    <mergeCell ref="A1:E1"/>
    <mergeCell ref="A2:E2"/>
    <mergeCell ref="A3:E3"/>
    <mergeCell ref="A4:E4"/>
    <mergeCell ref="A5:E5"/>
  </mergeCells>
  <conditionalFormatting sqref="E12:E34">
    <cfRule type="notContainsBlanks" dxfId="38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  <pageSetUpPr fitToPage="1"/>
  </sheetPr>
  <dimension ref="A1:E53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1862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06" t="s">
        <v>1209</v>
      </c>
      <c r="B12" s="112" t="s">
        <v>1863</v>
      </c>
      <c r="C12" s="113" t="s">
        <v>1864</v>
      </c>
      <c r="D12" s="113">
        <v>105</v>
      </c>
      <c r="E12" s="14">
        <v>5186312.16</v>
      </c>
    </row>
    <row r="13" spans="1:5" ht="15.75" customHeight="1">
      <c r="A13" s="106" t="s">
        <v>1212</v>
      </c>
      <c r="B13" s="17" t="s">
        <v>1865</v>
      </c>
      <c r="C13" s="13" t="s">
        <v>1759</v>
      </c>
      <c r="D13" s="98">
        <v>1217</v>
      </c>
      <c r="E13" s="18">
        <v>17000</v>
      </c>
    </row>
    <row r="14" spans="1:5" ht="15.75" customHeight="1">
      <c r="A14" s="106" t="s">
        <v>1215</v>
      </c>
      <c r="B14" s="24" t="s">
        <v>1866</v>
      </c>
      <c r="C14" s="78" t="s">
        <v>828</v>
      </c>
      <c r="D14" s="78" t="s">
        <v>1867</v>
      </c>
      <c r="E14" s="14">
        <v>263400</v>
      </c>
    </row>
    <row r="15" spans="1:5" ht="15.75" customHeight="1">
      <c r="A15" s="106" t="s">
        <v>1217</v>
      </c>
      <c r="B15" s="17" t="s">
        <v>1868</v>
      </c>
      <c r="C15" s="13" t="s">
        <v>1869</v>
      </c>
      <c r="D15" s="98">
        <v>148</v>
      </c>
      <c r="E15" s="18">
        <v>47716.2</v>
      </c>
    </row>
    <row r="16" spans="1:5" ht="15.75" customHeight="1">
      <c r="A16" s="106" t="s">
        <v>1221</v>
      </c>
      <c r="B16" s="17" t="s">
        <v>1870</v>
      </c>
      <c r="C16" s="13" t="s">
        <v>1871</v>
      </c>
      <c r="D16" s="98">
        <v>69</v>
      </c>
      <c r="E16" s="18">
        <v>19342</v>
      </c>
    </row>
    <row r="17" spans="1:5" ht="15.75" customHeight="1">
      <c r="A17" s="106" t="s">
        <v>1224</v>
      </c>
      <c r="B17" s="24" t="s">
        <v>1872</v>
      </c>
      <c r="C17" s="78" t="s">
        <v>1648</v>
      </c>
      <c r="D17" s="78">
        <v>775</v>
      </c>
      <c r="E17" s="14">
        <v>239250</v>
      </c>
    </row>
    <row r="18" spans="1:5" ht="15.75" customHeight="1">
      <c r="A18" s="106" t="s">
        <v>1226</v>
      </c>
      <c r="B18" s="17" t="s">
        <v>1873</v>
      </c>
      <c r="C18" s="78" t="s">
        <v>1874</v>
      </c>
      <c r="D18" s="98" t="s">
        <v>1875</v>
      </c>
      <c r="E18" s="18">
        <v>3700000</v>
      </c>
    </row>
    <row r="19" spans="1:5" ht="15.75" customHeight="1">
      <c r="A19" s="106" t="s">
        <v>1228</v>
      </c>
      <c r="B19" s="135" t="s">
        <v>1876</v>
      </c>
      <c r="C19" s="100" t="s">
        <v>1877</v>
      </c>
      <c r="D19" s="139">
        <v>932</v>
      </c>
      <c r="E19" s="140">
        <v>29590</v>
      </c>
    </row>
    <row r="20" spans="1:5" ht="15.75" customHeight="1">
      <c r="A20" s="106" t="s">
        <v>1230</v>
      </c>
      <c r="B20" s="135" t="s">
        <v>1878</v>
      </c>
      <c r="C20" s="100" t="s">
        <v>1879</v>
      </c>
      <c r="D20" s="139" t="s">
        <v>1880</v>
      </c>
      <c r="E20" s="140">
        <v>133900</v>
      </c>
    </row>
    <row r="21" spans="1:5" ht="15.75" customHeight="1">
      <c r="A21" s="106" t="s">
        <v>1232</v>
      </c>
      <c r="B21" s="17" t="s">
        <v>1881</v>
      </c>
      <c r="C21" s="78" t="s">
        <v>1882</v>
      </c>
      <c r="D21" s="78" t="s">
        <v>1883</v>
      </c>
      <c r="E21" s="18">
        <v>248688.9</v>
      </c>
    </row>
    <row r="22" spans="1:5" ht="15.75" customHeight="1">
      <c r="A22" s="106" t="s">
        <v>1234</v>
      </c>
      <c r="B22" s="17" t="s">
        <v>1884</v>
      </c>
      <c r="C22" s="78" t="s">
        <v>81</v>
      </c>
      <c r="D22" s="78" t="s">
        <v>1885</v>
      </c>
      <c r="E22" s="18">
        <v>44750</v>
      </c>
    </row>
    <row r="23" spans="1:5" ht="15.75" customHeight="1">
      <c r="A23" s="106" t="s">
        <v>1236</v>
      </c>
      <c r="B23" s="17" t="s">
        <v>1886</v>
      </c>
      <c r="C23" s="13" t="s">
        <v>1887</v>
      </c>
      <c r="D23" s="78" t="s">
        <v>1888</v>
      </c>
      <c r="E23" s="18">
        <v>214986</v>
      </c>
    </row>
    <row r="24" spans="1:5" ht="15.75" customHeight="1">
      <c r="A24" s="106" t="s">
        <v>1240</v>
      </c>
      <c r="B24" s="17" t="s">
        <v>1889</v>
      </c>
      <c r="C24" s="13" t="s">
        <v>81</v>
      </c>
      <c r="D24" s="78" t="s">
        <v>1890</v>
      </c>
      <c r="E24" s="18">
        <v>5400</v>
      </c>
    </row>
    <row r="25" spans="1:5" ht="15.75" customHeight="1">
      <c r="A25" s="106" t="s">
        <v>1242</v>
      </c>
      <c r="B25" s="17" t="s">
        <v>1891</v>
      </c>
      <c r="C25" s="78" t="s">
        <v>1892</v>
      </c>
      <c r="D25" s="78">
        <v>574</v>
      </c>
      <c r="E25" s="18">
        <v>4050</v>
      </c>
    </row>
    <row r="26" spans="1:5" ht="15.75" customHeight="1">
      <c r="A26" s="106" t="s">
        <v>1245</v>
      </c>
      <c r="B26" s="17" t="s">
        <v>1893</v>
      </c>
      <c r="C26" s="78" t="s">
        <v>1321</v>
      </c>
      <c r="D26" s="78">
        <v>1921</v>
      </c>
      <c r="E26" s="18">
        <v>31052.17</v>
      </c>
    </row>
    <row r="27" spans="1:5" ht="15.75" customHeight="1">
      <c r="A27" s="106" t="s">
        <v>1247</v>
      </c>
      <c r="B27" s="135" t="s">
        <v>1894</v>
      </c>
      <c r="C27" s="100" t="s">
        <v>1895</v>
      </c>
      <c r="D27" s="136">
        <v>1633</v>
      </c>
      <c r="E27" s="102">
        <v>180000</v>
      </c>
    </row>
    <row r="28" spans="1:5" ht="15.75" customHeight="1">
      <c r="A28" s="106" t="s">
        <v>1249</v>
      </c>
      <c r="B28" s="135" t="s">
        <v>1557</v>
      </c>
      <c r="C28" s="100" t="s">
        <v>15</v>
      </c>
      <c r="D28" s="136" t="s">
        <v>1896</v>
      </c>
      <c r="E28" s="102">
        <v>60922.42</v>
      </c>
    </row>
    <row r="29" spans="1:5" ht="15.75" customHeight="1">
      <c r="A29" s="106" t="s">
        <v>1252</v>
      </c>
      <c r="B29" s="17" t="s">
        <v>1897</v>
      </c>
      <c r="C29" s="78" t="s">
        <v>1786</v>
      </c>
      <c r="D29" s="136">
        <v>9321</v>
      </c>
      <c r="E29" s="102">
        <v>19900</v>
      </c>
    </row>
    <row r="30" spans="1:5" ht="15.75" customHeight="1">
      <c r="A30" s="106" t="s">
        <v>1255</v>
      </c>
      <c r="B30" s="17" t="s">
        <v>1898</v>
      </c>
      <c r="C30" s="78" t="s">
        <v>1899</v>
      </c>
      <c r="D30" s="136" t="s">
        <v>1900</v>
      </c>
      <c r="E30" s="102">
        <v>1150000</v>
      </c>
    </row>
    <row r="31" spans="1:5" ht="15.75" customHeight="1">
      <c r="A31" s="106" t="s">
        <v>1257</v>
      </c>
      <c r="B31" s="17" t="s">
        <v>1901</v>
      </c>
      <c r="C31" s="78" t="s">
        <v>15</v>
      </c>
      <c r="D31" s="136" t="s">
        <v>1902</v>
      </c>
      <c r="E31" s="102">
        <v>19510.14</v>
      </c>
    </row>
    <row r="32" spans="1:5" ht="15.75" customHeight="1">
      <c r="A32" s="106" t="s">
        <v>1259</v>
      </c>
      <c r="B32" s="24" t="s">
        <v>1903</v>
      </c>
      <c r="C32" s="113" t="s">
        <v>1481</v>
      </c>
      <c r="D32" s="107" t="s">
        <v>1904</v>
      </c>
      <c r="E32" s="44">
        <v>836368</v>
      </c>
    </row>
    <row r="33" spans="1:5" ht="15.75" customHeight="1">
      <c r="A33" s="106" t="s">
        <v>1263</v>
      </c>
      <c r="B33" s="24" t="s">
        <v>1905</v>
      </c>
      <c r="C33" s="113" t="s">
        <v>1906</v>
      </c>
      <c r="D33" s="107" t="s">
        <v>1907</v>
      </c>
      <c r="E33" s="44">
        <v>280900</v>
      </c>
    </row>
    <row r="34" spans="1:5" ht="15.75" customHeight="1">
      <c r="A34" s="106" t="s">
        <v>1267</v>
      </c>
      <c r="B34" s="24" t="s">
        <v>1908</v>
      </c>
      <c r="C34" s="78" t="s">
        <v>1150</v>
      </c>
      <c r="D34" s="78" t="s">
        <v>1909</v>
      </c>
      <c r="E34" s="14">
        <v>15624</v>
      </c>
    </row>
    <row r="35" spans="1:5" ht="15.75" customHeight="1">
      <c r="A35" s="106" t="s">
        <v>1270</v>
      </c>
      <c r="B35" s="138" t="s">
        <v>1910</v>
      </c>
      <c r="C35" s="139" t="s">
        <v>1869</v>
      </c>
      <c r="D35" s="139">
        <v>138</v>
      </c>
      <c r="E35" s="140">
        <v>80841.2</v>
      </c>
    </row>
    <row r="36" spans="1:5" ht="15.75" customHeight="1">
      <c r="A36" s="106" t="s">
        <v>1275</v>
      </c>
      <c r="B36" s="24" t="s">
        <v>1911</v>
      </c>
      <c r="C36" s="78" t="s">
        <v>1912</v>
      </c>
      <c r="D36" s="78" t="s">
        <v>1913</v>
      </c>
      <c r="E36" s="14">
        <v>4094.85</v>
      </c>
    </row>
    <row r="37" spans="1:5" ht="15.75" customHeight="1">
      <c r="A37" s="106" t="s">
        <v>1278</v>
      </c>
      <c r="B37" s="24" t="s">
        <v>1914</v>
      </c>
      <c r="C37" s="78" t="s">
        <v>1843</v>
      </c>
      <c r="D37" s="78">
        <v>376</v>
      </c>
      <c r="E37" s="14">
        <v>56100</v>
      </c>
    </row>
    <row r="38" spans="1:5" ht="15.75" customHeight="1">
      <c r="A38" s="106" t="s">
        <v>1281</v>
      </c>
      <c r="B38" s="24" t="s">
        <v>1915</v>
      </c>
      <c r="C38" s="78" t="s">
        <v>1679</v>
      </c>
      <c r="D38" s="78" t="s">
        <v>1916</v>
      </c>
      <c r="E38" s="14">
        <v>11454.8</v>
      </c>
    </row>
    <row r="39" spans="1:5" ht="15.75" customHeight="1">
      <c r="A39" s="106" t="s">
        <v>1284</v>
      </c>
      <c r="B39" s="24" t="s">
        <v>1917</v>
      </c>
      <c r="C39" s="78" t="s">
        <v>1918</v>
      </c>
      <c r="D39" s="78">
        <v>1955729082</v>
      </c>
      <c r="E39" s="14">
        <v>4878</v>
      </c>
    </row>
    <row r="40" spans="1:5" ht="15.75" customHeight="1">
      <c r="A40" s="106" t="s">
        <v>1286</v>
      </c>
      <c r="B40" s="24" t="s">
        <v>1919</v>
      </c>
      <c r="C40" s="78" t="s">
        <v>81</v>
      </c>
      <c r="D40" s="78" t="s">
        <v>1920</v>
      </c>
      <c r="E40" s="14">
        <v>21100</v>
      </c>
    </row>
    <row r="41" spans="1:5" ht="15.75" customHeight="1">
      <c r="A41" s="106" t="s">
        <v>1288</v>
      </c>
      <c r="B41" s="24" t="s">
        <v>1876</v>
      </c>
      <c r="C41" s="78" t="s">
        <v>1877</v>
      </c>
      <c r="D41" s="78">
        <v>932</v>
      </c>
      <c r="E41" s="14">
        <v>29590</v>
      </c>
    </row>
    <row r="42" spans="1:5" ht="15.75" customHeight="1">
      <c r="A42" s="106" t="s">
        <v>1290</v>
      </c>
      <c r="B42" s="24" t="s">
        <v>1921</v>
      </c>
      <c r="C42" s="78" t="s">
        <v>81</v>
      </c>
      <c r="D42" s="78" t="s">
        <v>1922</v>
      </c>
      <c r="E42" s="14">
        <v>56000</v>
      </c>
    </row>
    <row r="43" spans="1:5" ht="15.75" customHeight="1">
      <c r="A43" s="106" t="s">
        <v>1293</v>
      </c>
      <c r="B43" s="24" t="s">
        <v>1923</v>
      </c>
      <c r="C43" s="78" t="s">
        <v>378</v>
      </c>
      <c r="D43" s="78">
        <v>1104</v>
      </c>
      <c r="E43" s="14">
        <v>14000</v>
      </c>
    </row>
    <row r="44" spans="1:5" ht="15.75" customHeight="1">
      <c r="A44" s="106" t="s">
        <v>1295</v>
      </c>
      <c r="B44" s="24" t="s">
        <v>1924</v>
      </c>
      <c r="C44" s="78" t="s">
        <v>582</v>
      </c>
      <c r="D44" s="78" t="s">
        <v>1925</v>
      </c>
      <c r="E44" s="14">
        <v>13868.42</v>
      </c>
    </row>
    <row r="45" spans="1:5" ht="15.75" customHeight="1">
      <c r="A45" s="106" t="s">
        <v>1297</v>
      </c>
      <c r="B45" s="24" t="s">
        <v>1926</v>
      </c>
      <c r="C45" s="78" t="s">
        <v>1927</v>
      </c>
      <c r="D45" s="78" t="s">
        <v>1928</v>
      </c>
      <c r="E45" s="14">
        <v>105000</v>
      </c>
    </row>
    <row r="46" spans="1:5" ht="15.75" customHeight="1">
      <c r="A46" s="108" t="s">
        <v>24</v>
      </c>
      <c r="B46" s="203"/>
      <c r="C46" s="204"/>
      <c r="D46" s="205"/>
      <c r="E46" s="49">
        <f>SUM(E12:E45)</f>
        <v>13145589.26</v>
      </c>
    </row>
    <row r="47" spans="1:5" ht="15.75" customHeight="1">
      <c r="A47" s="211"/>
      <c r="B47" s="196"/>
      <c r="C47" s="196"/>
      <c r="D47" s="196"/>
      <c r="E47" s="196"/>
    </row>
    <row r="48" spans="1:5" ht="15.75" customHeight="1">
      <c r="A48" s="211" t="s">
        <v>1929</v>
      </c>
      <c r="B48" s="196"/>
      <c r="C48" s="196"/>
      <c r="D48" s="196"/>
      <c r="E48" s="27">
        <f>IF(E46&gt;=10000000,5000000*2%+5000000*1%+(E46-10000000)*0.5%,IF(E46&gt;=5000000,5000000*2%+(E46-5000000)*1%,E46*2%))</f>
        <v>165727.94630000001</v>
      </c>
    </row>
    <row r="49" spans="1:5" ht="14.25" customHeight="1">
      <c r="A49" s="211" t="s">
        <v>25</v>
      </c>
      <c r="B49" s="196"/>
      <c r="C49" s="196"/>
      <c r="D49" s="196"/>
      <c r="E49" s="196"/>
    </row>
    <row r="50" spans="1:5" ht="35.25" customHeight="1">
      <c r="A50" s="211"/>
      <c r="B50" s="196"/>
      <c r="C50" s="196"/>
      <c r="D50" s="196"/>
      <c r="E50" s="196"/>
    </row>
    <row r="51" spans="1:5" ht="15.75" customHeight="1">
      <c r="A51" s="211" t="s">
        <v>26</v>
      </c>
      <c r="B51" s="196"/>
      <c r="C51" s="196"/>
      <c r="D51" s="196"/>
      <c r="E51" s="196"/>
    </row>
    <row r="52" spans="1:5" ht="15.75" customHeight="1">
      <c r="A52" s="211" t="s">
        <v>27</v>
      </c>
      <c r="B52" s="196"/>
      <c r="C52" s="196"/>
      <c r="D52" s="196"/>
      <c r="E52" s="196"/>
    </row>
    <row r="53" spans="1:5" ht="15.75" customHeight="1">
      <c r="A53" s="211" t="s">
        <v>28</v>
      </c>
      <c r="B53" s="196"/>
      <c r="C53" s="196"/>
      <c r="D53" s="196"/>
      <c r="E53" s="196"/>
    </row>
  </sheetData>
  <mergeCells count="18">
    <mergeCell ref="A53:E53"/>
    <mergeCell ref="A8:E8"/>
    <mergeCell ref="A9:E9"/>
    <mergeCell ref="A10:E10"/>
    <mergeCell ref="B46:D46"/>
    <mergeCell ref="A47:E47"/>
    <mergeCell ref="A48:D48"/>
    <mergeCell ref="A49:E49"/>
    <mergeCell ref="A6:E6"/>
    <mergeCell ref="A7:E7"/>
    <mergeCell ref="A50:E50"/>
    <mergeCell ref="A51:E51"/>
    <mergeCell ref="A52:E52"/>
    <mergeCell ref="A1:E1"/>
    <mergeCell ref="A2:E2"/>
    <mergeCell ref="A3:E3"/>
    <mergeCell ref="A4:E4"/>
    <mergeCell ref="A5:E5"/>
  </mergeCells>
  <conditionalFormatting sqref="E12:E45">
    <cfRule type="notContainsBlanks" dxfId="37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  <pageSetUpPr fitToPage="1"/>
  </sheetPr>
  <dimension ref="A1:E43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1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1540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1930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06" t="s">
        <v>1209</v>
      </c>
      <c r="B12" s="17" t="s">
        <v>1865</v>
      </c>
      <c r="C12" s="13" t="s">
        <v>1759</v>
      </c>
      <c r="D12" s="98">
        <v>1217</v>
      </c>
      <c r="E12" s="18">
        <v>17000</v>
      </c>
    </row>
    <row r="13" spans="1:5" ht="15.75" customHeight="1">
      <c r="A13" s="106" t="s">
        <v>1212</v>
      </c>
      <c r="B13" s="24" t="s">
        <v>1866</v>
      </c>
      <c r="C13" s="78" t="s">
        <v>828</v>
      </c>
      <c r="D13" s="78" t="s">
        <v>1867</v>
      </c>
      <c r="E13" s="14">
        <v>263400</v>
      </c>
    </row>
    <row r="14" spans="1:5" ht="15.75" customHeight="1">
      <c r="A14" s="106" t="s">
        <v>1215</v>
      </c>
      <c r="B14" s="17" t="s">
        <v>1868</v>
      </c>
      <c r="C14" s="13" t="s">
        <v>1869</v>
      </c>
      <c r="D14" s="98">
        <v>148</v>
      </c>
      <c r="E14" s="18">
        <v>47716.2</v>
      </c>
    </row>
    <row r="15" spans="1:5" ht="15.75" customHeight="1">
      <c r="A15" s="106" t="s">
        <v>1217</v>
      </c>
      <c r="B15" s="17" t="s">
        <v>1870</v>
      </c>
      <c r="C15" s="13" t="s">
        <v>1871</v>
      </c>
      <c r="D15" s="98">
        <v>69</v>
      </c>
      <c r="E15" s="18">
        <v>19342</v>
      </c>
    </row>
    <row r="16" spans="1:5" ht="15.75" customHeight="1">
      <c r="A16" s="106" t="s">
        <v>1221</v>
      </c>
      <c r="B16" s="24" t="s">
        <v>1872</v>
      </c>
      <c r="C16" s="78" t="s">
        <v>1648</v>
      </c>
      <c r="D16" s="78">
        <v>775</v>
      </c>
      <c r="E16" s="14">
        <v>239250</v>
      </c>
    </row>
    <row r="17" spans="1:5" ht="15.75" customHeight="1">
      <c r="A17" s="106" t="s">
        <v>1224</v>
      </c>
      <c r="B17" s="135" t="s">
        <v>1876</v>
      </c>
      <c r="C17" s="100" t="s">
        <v>1877</v>
      </c>
      <c r="D17" s="139">
        <v>932</v>
      </c>
      <c r="E17" s="140">
        <v>29590</v>
      </c>
    </row>
    <row r="18" spans="1:5" ht="15.75" customHeight="1">
      <c r="A18" s="106" t="s">
        <v>1226</v>
      </c>
      <c r="B18" s="17" t="s">
        <v>1881</v>
      </c>
      <c r="C18" s="78" t="s">
        <v>1882</v>
      </c>
      <c r="D18" s="78" t="s">
        <v>1883</v>
      </c>
      <c r="E18" s="18">
        <v>248688.9</v>
      </c>
    </row>
    <row r="19" spans="1:5" ht="15.75" customHeight="1">
      <c r="A19" s="106" t="s">
        <v>1228</v>
      </c>
      <c r="B19" s="17" t="s">
        <v>1884</v>
      </c>
      <c r="C19" s="78" t="s">
        <v>81</v>
      </c>
      <c r="D19" s="78" t="s">
        <v>1885</v>
      </c>
      <c r="E19" s="18">
        <v>44750</v>
      </c>
    </row>
    <row r="20" spans="1:5" ht="15.75" customHeight="1">
      <c r="A20" s="106" t="s">
        <v>1230</v>
      </c>
      <c r="B20" s="17" t="s">
        <v>1886</v>
      </c>
      <c r="C20" s="13" t="s">
        <v>1887</v>
      </c>
      <c r="D20" s="78" t="s">
        <v>1888</v>
      </c>
      <c r="E20" s="18">
        <v>214986</v>
      </c>
    </row>
    <row r="21" spans="1:5" ht="15.75" customHeight="1">
      <c r="A21" s="106" t="s">
        <v>1232</v>
      </c>
      <c r="B21" s="17" t="s">
        <v>1889</v>
      </c>
      <c r="C21" s="13" t="s">
        <v>81</v>
      </c>
      <c r="D21" s="78" t="s">
        <v>1890</v>
      </c>
      <c r="E21" s="18">
        <v>5400</v>
      </c>
    </row>
    <row r="22" spans="1:5" ht="15.75" customHeight="1">
      <c r="A22" s="106" t="s">
        <v>1234</v>
      </c>
      <c r="B22" s="17" t="s">
        <v>1891</v>
      </c>
      <c r="C22" s="78" t="s">
        <v>1892</v>
      </c>
      <c r="D22" s="78">
        <v>574</v>
      </c>
      <c r="E22" s="18">
        <v>4050</v>
      </c>
    </row>
    <row r="23" spans="1:5" ht="15.75" customHeight="1">
      <c r="A23" s="106" t="s">
        <v>1236</v>
      </c>
      <c r="B23" s="17" t="s">
        <v>1893</v>
      </c>
      <c r="C23" s="78" t="s">
        <v>1321</v>
      </c>
      <c r="D23" s="78">
        <v>1921</v>
      </c>
      <c r="E23" s="18">
        <v>31052.17</v>
      </c>
    </row>
    <row r="24" spans="1:5" ht="15.75" customHeight="1">
      <c r="A24" s="106" t="s">
        <v>1240</v>
      </c>
      <c r="B24" s="135" t="s">
        <v>1894</v>
      </c>
      <c r="C24" s="100" t="s">
        <v>1895</v>
      </c>
      <c r="D24" s="136">
        <v>1633</v>
      </c>
      <c r="E24" s="102">
        <v>180000</v>
      </c>
    </row>
    <row r="25" spans="1:5" ht="15.75" customHeight="1">
      <c r="A25" s="106" t="s">
        <v>1242</v>
      </c>
      <c r="B25" s="17" t="s">
        <v>1897</v>
      </c>
      <c r="C25" s="78" t="s">
        <v>1786</v>
      </c>
      <c r="D25" s="136">
        <v>9321</v>
      </c>
      <c r="E25" s="102">
        <v>19900</v>
      </c>
    </row>
    <row r="26" spans="1:5" ht="15.75" customHeight="1">
      <c r="A26" s="106" t="s">
        <v>1245</v>
      </c>
      <c r="B26" s="17" t="s">
        <v>1901</v>
      </c>
      <c r="C26" s="78" t="s">
        <v>15</v>
      </c>
      <c r="D26" s="136" t="s">
        <v>1902</v>
      </c>
      <c r="E26" s="102">
        <v>19510.14</v>
      </c>
    </row>
    <row r="27" spans="1:5" ht="15.75" customHeight="1">
      <c r="A27" s="106" t="s">
        <v>1247</v>
      </c>
      <c r="B27" s="24" t="s">
        <v>1903</v>
      </c>
      <c r="C27" s="113" t="s">
        <v>1481</v>
      </c>
      <c r="D27" s="107" t="s">
        <v>1904</v>
      </c>
      <c r="E27" s="44">
        <v>836368</v>
      </c>
    </row>
    <row r="28" spans="1:5" ht="15.75" customHeight="1">
      <c r="A28" s="106" t="s">
        <v>1249</v>
      </c>
      <c r="B28" s="24" t="s">
        <v>1905</v>
      </c>
      <c r="C28" s="113" t="s">
        <v>1906</v>
      </c>
      <c r="D28" s="107" t="s">
        <v>1907</v>
      </c>
      <c r="E28" s="44">
        <v>280900</v>
      </c>
    </row>
    <row r="29" spans="1:5" ht="15.75" customHeight="1">
      <c r="A29" s="106" t="s">
        <v>1252</v>
      </c>
      <c r="B29" s="24" t="s">
        <v>1911</v>
      </c>
      <c r="C29" s="78" t="s">
        <v>1912</v>
      </c>
      <c r="D29" s="78" t="s">
        <v>1913</v>
      </c>
      <c r="E29" s="14">
        <v>4094.85</v>
      </c>
    </row>
    <row r="30" spans="1:5" ht="15.75" customHeight="1">
      <c r="A30" s="106" t="s">
        <v>1255</v>
      </c>
      <c r="B30" s="24" t="s">
        <v>1914</v>
      </c>
      <c r="C30" s="78" t="s">
        <v>1843</v>
      </c>
      <c r="D30" s="78">
        <v>376</v>
      </c>
      <c r="E30" s="14">
        <v>56100</v>
      </c>
    </row>
    <row r="31" spans="1:5" ht="15.75" customHeight="1">
      <c r="A31" s="106" t="s">
        <v>1257</v>
      </c>
      <c r="B31" s="24" t="s">
        <v>1915</v>
      </c>
      <c r="C31" s="78" t="s">
        <v>1679</v>
      </c>
      <c r="D31" s="78" t="s">
        <v>1916</v>
      </c>
      <c r="E31" s="14">
        <v>11173</v>
      </c>
    </row>
    <row r="32" spans="1:5" ht="15.75" customHeight="1">
      <c r="A32" s="106" t="s">
        <v>1259</v>
      </c>
      <c r="B32" s="24" t="s">
        <v>1917</v>
      </c>
      <c r="C32" s="78" t="s">
        <v>1918</v>
      </c>
      <c r="D32" s="78">
        <v>1955729082</v>
      </c>
      <c r="E32" s="14">
        <v>4878</v>
      </c>
    </row>
    <row r="33" spans="1:5" ht="15.75" customHeight="1">
      <c r="A33" s="106" t="s">
        <v>1263</v>
      </c>
      <c r="B33" s="24" t="s">
        <v>1919</v>
      </c>
      <c r="C33" s="78" t="s">
        <v>81</v>
      </c>
      <c r="D33" s="78" t="s">
        <v>1920</v>
      </c>
      <c r="E33" s="14">
        <v>21100</v>
      </c>
    </row>
    <row r="34" spans="1:5" ht="15.75" customHeight="1">
      <c r="A34" s="106" t="s">
        <v>1267</v>
      </c>
      <c r="B34" s="24" t="s">
        <v>1924</v>
      </c>
      <c r="C34" s="78" t="s">
        <v>582</v>
      </c>
      <c r="D34" s="78" t="s">
        <v>1925</v>
      </c>
      <c r="E34" s="14">
        <v>13868.42</v>
      </c>
    </row>
    <row r="35" spans="1:5" ht="15.75" customHeight="1">
      <c r="A35" s="106" t="s">
        <v>1270</v>
      </c>
      <c r="B35" s="24" t="s">
        <v>1926</v>
      </c>
      <c r="C35" s="78" t="s">
        <v>1927</v>
      </c>
      <c r="D35" s="78" t="s">
        <v>1928</v>
      </c>
      <c r="E35" s="14">
        <v>105000</v>
      </c>
    </row>
    <row r="36" spans="1:5" ht="15.75" customHeight="1">
      <c r="A36" s="108" t="s">
        <v>24</v>
      </c>
      <c r="B36" s="203"/>
      <c r="C36" s="204"/>
      <c r="D36" s="205"/>
      <c r="E36" s="49">
        <f>SUM(E12:E35)</f>
        <v>2718117.68</v>
      </c>
    </row>
    <row r="37" spans="1:5" ht="15.75" customHeight="1">
      <c r="A37" s="211"/>
      <c r="B37" s="196"/>
      <c r="C37" s="196"/>
      <c r="D37" s="196"/>
      <c r="E37" s="196"/>
    </row>
    <row r="38" spans="1:5" ht="15.75" customHeight="1">
      <c r="A38" s="211" t="s">
        <v>1931</v>
      </c>
      <c r="B38" s="196"/>
      <c r="C38" s="196"/>
      <c r="D38" s="196"/>
      <c r="E38" s="27">
        <f>E36*8%</f>
        <v>217449.41440000001</v>
      </c>
    </row>
    <row r="39" spans="1:5" ht="14.25" customHeight="1">
      <c r="A39" s="211" t="s">
        <v>25</v>
      </c>
      <c r="B39" s="196"/>
      <c r="C39" s="196"/>
      <c r="D39" s="196"/>
      <c r="E39" s="196"/>
    </row>
    <row r="40" spans="1:5" ht="35.25" customHeight="1">
      <c r="A40" s="211"/>
      <c r="B40" s="196"/>
      <c r="C40" s="196"/>
      <c r="D40" s="196"/>
      <c r="E40" s="196"/>
    </row>
    <row r="41" spans="1:5" ht="15.75" customHeight="1">
      <c r="A41" s="211" t="s">
        <v>26</v>
      </c>
      <c r="B41" s="196"/>
      <c r="C41" s="196"/>
      <c r="D41" s="196"/>
      <c r="E41" s="196"/>
    </row>
    <row r="42" spans="1:5" ht="15.75" customHeight="1">
      <c r="A42" s="211" t="s">
        <v>27</v>
      </c>
      <c r="B42" s="196"/>
      <c r="C42" s="196"/>
      <c r="D42" s="196"/>
      <c r="E42" s="196"/>
    </row>
    <row r="43" spans="1:5" ht="15.75" customHeight="1">
      <c r="A43" s="211" t="s">
        <v>28</v>
      </c>
      <c r="B43" s="196"/>
      <c r="C43" s="196"/>
      <c r="D43" s="196"/>
      <c r="E43" s="196"/>
    </row>
  </sheetData>
  <mergeCells count="18">
    <mergeCell ref="A43:E43"/>
    <mergeCell ref="A8:E8"/>
    <mergeCell ref="A9:E9"/>
    <mergeCell ref="A10:E10"/>
    <mergeCell ref="B36:D36"/>
    <mergeCell ref="A37:E37"/>
    <mergeCell ref="A38:D38"/>
    <mergeCell ref="A39:E39"/>
    <mergeCell ref="A6:E6"/>
    <mergeCell ref="A7:E7"/>
    <mergeCell ref="A40:E40"/>
    <mergeCell ref="A41:E41"/>
    <mergeCell ref="A42:E42"/>
    <mergeCell ref="A1:E1"/>
    <mergeCell ref="A2:E2"/>
    <mergeCell ref="A3:E3"/>
    <mergeCell ref="A4:E4"/>
    <mergeCell ref="A5:E5"/>
  </mergeCells>
  <conditionalFormatting sqref="E12:E35">
    <cfRule type="notContainsBlanks" dxfId="36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  <pageSetUpPr fitToPage="1"/>
  </sheetPr>
  <dimension ref="A1:E45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8.6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1932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06" t="s">
        <v>1209</v>
      </c>
      <c r="B12" s="17" t="s">
        <v>1933</v>
      </c>
      <c r="C12" s="113" t="s">
        <v>1728</v>
      </c>
      <c r="D12" s="98">
        <v>166334769</v>
      </c>
      <c r="E12" s="18">
        <v>39877</v>
      </c>
    </row>
    <row r="13" spans="1:5" ht="15.75" customHeight="1">
      <c r="A13" s="106" t="s">
        <v>1212</v>
      </c>
      <c r="B13" s="135" t="s">
        <v>1747</v>
      </c>
      <c r="C13" s="100" t="s">
        <v>1748</v>
      </c>
      <c r="D13" s="133">
        <v>279</v>
      </c>
      <c r="E13" s="102">
        <v>3105000.2</v>
      </c>
    </row>
    <row r="14" spans="1:5" ht="15.75" customHeight="1">
      <c r="A14" s="106" t="s">
        <v>1215</v>
      </c>
      <c r="B14" s="24" t="s">
        <v>1934</v>
      </c>
      <c r="C14" s="113" t="s">
        <v>218</v>
      </c>
      <c r="D14" s="78">
        <v>148</v>
      </c>
      <c r="E14" s="18">
        <v>276000</v>
      </c>
    </row>
    <row r="15" spans="1:5" ht="15.75" customHeight="1">
      <c r="A15" s="106" t="s">
        <v>1217</v>
      </c>
      <c r="B15" s="109" t="s">
        <v>1935</v>
      </c>
      <c r="C15" s="42" t="s">
        <v>1906</v>
      </c>
      <c r="D15" s="107" t="s">
        <v>1936</v>
      </c>
      <c r="E15" s="44">
        <v>47500</v>
      </c>
    </row>
    <row r="16" spans="1:5" ht="15.75" customHeight="1">
      <c r="A16" s="106" t="s">
        <v>1221</v>
      </c>
      <c r="B16" s="143" t="s">
        <v>1937</v>
      </c>
      <c r="C16" s="144" t="s">
        <v>218</v>
      </c>
      <c r="D16" s="144">
        <v>149</v>
      </c>
      <c r="E16" s="48">
        <v>213000</v>
      </c>
    </row>
    <row r="17" spans="1:5" ht="15.75" customHeight="1">
      <c r="A17" s="106" t="s">
        <v>1224</v>
      </c>
      <c r="B17" s="143" t="s">
        <v>1938</v>
      </c>
      <c r="C17" s="144" t="s">
        <v>1939</v>
      </c>
      <c r="D17" s="145">
        <v>231</v>
      </c>
      <c r="E17" s="48">
        <v>60120</v>
      </c>
    </row>
    <row r="18" spans="1:5" ht="15.75" customHeight="1">
      <c r="A18" s="106" t="s">
        <v>1226</v>
      </c>
      <c r="B18" s="143" t="s">
        <v>1940</v>
      </c>
      <c r="C18" s="144" t="s">
        <v>81</v>
      </c>
      <c r="D18" s="144" t="s">
        <v>1941</v>
      </c>
      <c r="E18" s="48">
        <v>41250</v>
      </c>
    </row>
    <row r="19" spans="1:5" ht="15.75" customHeight="1">
      <c r="A19" s="106" t="s">
        <v>1228</v>
      </c>
      <c r="B19" s="17" t="s">
        <v>1942</v>
      </c>
      <c r="C19" s="78" t="s">
        <v>1943</v>
      </c>
      <c r="D19" s="136">
        <v>639</v>
      </c>
      <c r="E19" s="102">
        <v>70093.62</v>
      </c>
    </row>
    <row r="20" spans="1:5" ht="15.75" customHeight="1">
      <c r="A20" s="106" t="s">
        <v>1230</v>
      </c>
      <c r="B20" s="24" t="s">
        <v>1944</v>
      </c>
      <c r="C20" s="113" t="s">
        <v>1945</v>
      </c>
      <c r="D20" s="107" t="s">
        <v>1946</v>
      </c>
      <c r="E20" s="44">
        <v>11430</v>
      </c>
    </row>
    <row r="21" spans="1:5" ht="15.75" customHeight="1">
      <c r="A21" s="106" t="s">
        <v>1232</v>
      </c>
      <c r="B21" s="138" t="s">
        <v>1947</v>
      </c>
      <c r="C21" s="139" t="s">
        <v>378</v>
      </c>
      <c r="D21" s="139">
        <v>505</v>
      </c>
      <c r="E21" s="140">
        <v>7000</v>
      </c>
    </row>
    <row r="22" spans="1:5" ht="15.75" customHeight="1">
      <c r="A22" s="106" t="s">
        <v>1234</v>
      </c>
      <c r="B22" s="24" t="s">
        <v>1948</v>
      </c>
      <c r="C22" s="139" t="s">
        <v>378</v>
      </c>
      <c r="D22" s="78">
        <v>605</v>
      </c>
      <c r="E22" s="14">
        <v>32608</v>
      </c>
    </row>
    <row r="23" spans="1:5" ht="15.75" customHeight="1">
      <c r="A23" s="106" t="s">
        <v>1236</v>
      </c>
      <c r="B23" s="135" t="s">
        <v>1949</v>
      </c>
      <c r="C23" s="100" t="s">
        <v>805</v>
      </c>
      <c r="D23" s="139">
        <v>309</v>
      </c>
      <c r="E23" s="140">
        <v>386000</v>
      </c>
    </row>
    <row r="24" spans="1:5" ht="15.75" customHeight="1">
      <c r="A24" s="106" t="s">
        <v>1240</v>
      </c>
      <c r="B24" s="135" t="s">
        <v>1950</v>
      </c>
      <c r="C24" s="100" t="s">
        <v>218</v>
      </c>
      <c r="D24" s="139">
        <v>160</v>
      </c>
      <c r="E24" s="140">
        <v>228900</v>
      </c>
    </row>
    <row r="25" spans="1:5" ht="15.75" customHeight="1">
      <c r="A25" s="106" t="s">
        <v>1242</v>
      </c>
      <c r="B25" s="146" t="s">
        <v>1951</v>
      </c>
      <c r="C25" s="147" t="s">
        <v>472</v>
      </c>
      <c r="D25" s="148">
        <v>4236</v>
      </c>
      <c r="E25" s="140">
        <v>1450</v>
      </c>
    </row>
    <row r="26" spans="1:5" ht="15.75" customHeight="1">
      <c r="A26" s="106" t="s">
        <v>1245</v>
      </c>
      <c r="B26" s="146" t="s">
        <v>1952</v>
      </c>
      <c r="C26" s="147" t="s">
        <v>472</v>
      </c>
      <c r="D26" s="148">
        <v>4300</v>
      </c>
      <c r="E26" s="140">
        <v>52700</v>
      </c>
    </row>
    <row r="27" spans="1:5" ht="15.75" customHeight="1">
      <c r="A27" s="106" t="s">
        <v>1247</v>
      </c>
      <c r="B27" s="146" t="s">
        <v>1953</v>
      </c>
      <c r="C27" s="147" t="s">
        <v>1954</v>
      </c>
      <c r="D27" s="148" t="s">
        <v>1955</v>
      </c>
      <c r="E27" s="140">
        <v>44502</v>
      </c>
    </row>
    <row r="28" spans="1:5" ht="15.75" customHeight="1">
      <c r="A28" s="106" t="s">
        <v>1249</v>
      </c>
      <c r="B28" s="146" t="s">
        <v>1956</v>
      </c>
      <c r="C28" s="147" t="s">
        <v>805</v>
      </c>
      <c r="D28" s="148">
        <v>515</v>
      </c>
      <c r="E28" s="140">
        <v>74000</v>
      </c>
    </row>
    <row r="29" spans="1:5" ht="15.75" customHeight="1">
      <c r="A29" s="106" t="s">
        <v>1252</v>
      </c>
      <c r="B29" s="143" t="s">
        <v>1957</v>
      </c>
      <c r="C29" s="144" t="s">
        <v>1906</v>
      </c>
      <c r="D29" s="144" t="s">
        <v>1958</v>
      </c>
      <c r="E29" s="48">
        <v>9000</v>
      </c>
    </row>
    <row r="30" spans="1:5" ht="15.75" customHeight="1">
      <c r="A30" s="106" t="s">
        <v>1255</v>
      </c>
      <c r="B30" s="143" t="s">
        <v>1959</v>
      </c>
      <c r="C30" s="144" t="s">
        <v>1960</v>
      </c>
      <c r="D30" s="144" t="s">
        <v>1961</v>
      </c>
      <c r="E30" s="48">
        <v>3610</v>
      </c>
    </row>
    <row r="31" spans="1:5" ht="15.75" customHeight="1">
      <c r="A31" s="106" t="s">
        <v>1257</v>
      </c>
      <c r="B31" s="17" t="s">
        <v>1962</v>
      </c>
      <c r="C31" s="78" t="s">
        <v>1963</v>
      </c>
      <c r="D31" s="136" t="s">
        <v>1964</v>
      </c>
      <c r="E31" s="102">
        <v>3000</v>
      </c>
    </row>
    <row r="32" spans="1:5" ht="15.75" customHeight="1">
      <c r="A32" s="106" t="s">
        <v>1259</v>
      </c>
      <c r="B32" s="24" t="s">
        <v>1965</v>
      </c>
      <c r="C32" s="113" t="s">
        <v>51</v>
      </c>
      <c r="D32" s="107" t="s">
        <v>1966</v>
      </c>
      <c r="E32" s="44">
        <v>2967.55</v>
      </c>
    </row>
    <row r="33" spans="1:5" ht="15.75" customHeight="1">
      <c r="A33" s="106" t="s">
        <v>1263</v>
      </c>
      <c r="B33" s="135" t="s">
        <v>1967</v>
      </c>
      <c r="C33" s="100" t="s">
        <v>472</v>
      </c>
      <c r="D33" s="139">
        <v>4169</v>
      </c>
      <c r="E33" s="140">
        <v>30130</v>
      </c>
    </row>
    <row r="34" spans="1:5" ht="15.75" customHeight="1">
      <c r="A34" s="106" t="s">
        <v>1267</v>
      </c>
      <c r="B34" s="143" t="s">
        <v>1968</v>
      </c>
      <c r="C34" s="144" t="s">
        <v>1892</v>
      </c>
      <c r="D34" s="145">
        <v>659</v>
      </c>
      <c r="E34" s="48">
        <v>14100</v>
      </c>
    </row>
    <row r="35" spans="1:5" ht="15.75" customHeight="1">
      <c r="A35" s="106" t="s">
        <v>1270</v>
      </c>
      <c r="B35" s="149" t="s">
        <v>1969</v>
      </c>
      <c r="C35" s="100" t="s">
        <v>1728</v>
      </c>
      <c r="D35" s="145">
        <v>172313477</v>
      </c>
      <c r="E35" s="48">
        <v>15880</v>
      </c>
    </row>
    <row r="36" spans="1:5" ht="15.75" customHeight="1">
      <c r="A36" s="106" t="s">
        <v>1273</v>
      </c>
      <c r="B36" s="135" t="s">
        <v>1970</v>
      </c>
      <c r="C36" s="100" t="s">
        <v>1971</v>
      </c>
      <c r="D36" s="136">
        <v>8</v>
      </c>
      <c r="E36" s="102">
        <v>29700</v>
      </c>
    </row>
    <row r="37" spans="1:5" ht="15.75" customHeight="1">
      <c r="A37" s="106" t="s">
        <v>1275</v>
      </c>
      <c r="B37" s="112" t="s">
        <v>1972</v>
      </c>
      <c r="C37" s="113" t="s">
        <v>783</v>
      </c>
      <c r="D37" s="113" t="s">
        <v>1973</v>
      </c>
      <c r="E37" s="18">
        <v>66148</v>
      </c>
    </row>
    <row r="38" spans="1:5" ht="15.75" customHeight="1">
      <c r="A38" s="108" t="s">
        <v>24</v>
      </c>
      <c r="B38" s="203"/>
      <c r="C38" s="204"/>
      <c r="D38" s="205"/>
      <c r="E38" s="49">
        <f>SUM(E12:E37)</f>
        <v>4865966.37</v>
      </c>
    </row>
    <row r="39" spans="1:5" ht="15.75" customHeight="1">
      <c r="A39" s="211"/>
      <c r="B39" s="196"/>
      <c r="C39" s="196"/>
      <c r="D39" s="196"/>
      <c r="E39" s="196"/>
    </row>
    <row r="40" spans="1:5" ht="15.75" customHeight="1">
      <c r="A40" s="211" t="s">
        <v>1974</v>
      </c>
      <c r="B40" s="196"/>
      <c r="C40" s="196"/>
      <c r="D40" s="196"/>
      <c r="E40" s="27">
        <f>IF(E38&gt;=10000000,5000000*2%+5000000*1%+(E38-10000000)*0.5%,IF(E38&gt;=5000000,5000000*2%+(E38-5000000)*1%,E38*2%))</f>
        <v>97319.327400000009</v>
      </c>
    </row>
    <row r="41" spans="1:5" ht="14.25" customHeight="1">
      <c r="A41" s="211" t="s">
        <v>25</v>
      </c>
      <c r="B41" s="196"/>
      <c r="C41" s="196"/>
      <c r="D41" s="196"/>
      <c r="E41" s="196"/>
    </row>
    <row r="42" spans="1:5" ht="35.25" customHeight="1">
      <c r="A42" s="211"/>
      <c r="B42" s="196"/>
      <c r="C42" s="196"/>
      <c r="D42" s="196"/>
      <c r="E42" s="196"/>
    </row>
    <row r="43" spans="1:5" ht="15.75" customHeight="1">
      <c r="A43" s="211" t="s">
        <v>26</v>
      </c>
      <c r="B43" s="196"/>
      <c r="C43" s="196"/>
      <c r="D43" s="196"/>
      <c r="E43" s="196"/>
    </row>
    <row r="44" spans="1:5" ht="15.75" customHeight="1">
      <c r="A44" s="211" t="s">
        <v>27</v>
      </c>
      <c r="B44" s="196"/>
      <c r="C44" s="196"/>
      <c r="D44" s="196"/>
      <c r="E44" s="196"/>
    </row>
    <row r="45" spans="1:5" ht="15.75" customHeight="1">
      <c r="A45" s="211" t="s">
        <v>28</v>
      </c>
      <c r="B45" s="196"/>
      <c r="C45" s="196"/>
      <c r="D45" s="196"/>
      <c r="E45" s="196"/>
    </row>
  </sheetData>
  <mergeCells count="18">
    <mergeCell ref="A45:E45"/>
    <mergeCell ref="A8:E8"/>
    <mergeCell ref="A9:E9"/>
    <mergeCell ref="A10:E10"/>
    <mergeCell ref="B38:D38"/>
    <mergeCell ref="A39:E39"/>
    <mergeCell ref="A40:D40"/>
    <mergeCell ref="A41:E41"/>
    <mergeCell ref="A6:E6"/>
    <mergeCell ref="A7:E7"/>
    <mergeCell ref="A42:E42"/>
    <mergeCell ref="A43:E43"/>
    <mergeCell ref="A44:E44"/>
    <mergeCell ref="A1:E1"/>
    <mergeCell ref="A2:E2"/>
    <mergeCell ref="A3:E3"/>
    <mergeCell ref="A4:E4"/>
    <mergeCell ref="A5:E5"/>
  </mergeCells>
  <conditionalFormatting sqref="E12:E37">
    <cfRule type="notContainsBlanks" dxfId="35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  <pageSetUpPr fitToPage="1"/>
  </sheetPr>
  <dimension ref="A1:E39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8.6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1975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06" t="s">
        <v>1209</v>
      </c>
      <c r="B12" s="17" t="s">
        <v>1933</v>
      </c>
      <c r="C12" s="113" t="s">
        <v>1728</v>
      </c>
      <c r="D12" s="98">
        <v>166334769</v>
      </c>
      <c r="E12" s="18">
        <v>39877</v>
      </c>
    </row>
    <row r="13" spans="1:5" ht="15.75" customHeight="1">
      <c r="A13" s="106" t="s">
        <v>1212</v>
      </c>
      <c r="B13" s="135" t="s">
        <v>1747</v>
      </c>
      <c r="C13" s="100" t="s">
        <v>1748</v>
      </c>
      <c r="D13" s="133">
        <v>279</v>
      </c>
      <c r="E13" s="102">
        <v>3105000.2</v>
      </c>
    </row>
    <row r="14" spans="1:5" ht="15.75" customHeight="1">
      <c r="A14" s="106" t="s">
        <v>1215</v>
      </c>
      <c r="B14" s="24" t="s">
        <v>1934</v>
      </c>
      <c r="C14" s="113" t="s">
        <v>218</v>
      </c>
      <c r="D14" s="78">
        <v>148</v>
      </c>
      <c r="E14" s="18">
        <v>276000</v>
      </c>
    </row>
    <row r="15" spans="1:5" ht="15.75" customHeight="1">
      <c r="A15" s="106" t="s">
        <v>1217</v>
      </c>
      <c r="B15" s="109" t="s">
        <v>1935</v>
      </c>
      <c r="C15" s="42" t="s">
        <v>1906</v>
      </c>
      <c r="D15" s="107" t="s">
        <v>1936</v>
      </c>
      <c r="E15" s="44">
        <v>47500</v>
      </c>
    </row>
    <row r="16" spans="1:5" ht="15.75" customHeight="1">
      <c r="A16" s="106" t="s">
        <v>1221</v>
      </c>
      <c r="B16" s="143" t="s">
        <v>1938</v>
      </c>
      <c r="C16" s="144" t="s">
        <v>1939</v>
      </c>
      <c r="D16" s="145">
        <v>231</v>
      </c>
      <c r="E16" s="48">
        <v>60120</v>
      </c>
    </row>
    <row r="17" spans="1:5" ht="15.75" customHeight="1">
      <c r="A17" s="106" t="s">
        <v>1224</v>
      </c>
      <c r="B17" s="143" t="s">
        <v>1940</v>
      </c>
      <c r="C17" s="144" t="s">
        <v>81</v>
      </c>
      <c r="D17" s="144" t="s">
        <v>1941</v>
      </c>
      <c r="E17" s="48">
        <v>41250</v>
      </c>
    </row>
    <row r="18" spans="1:5" ht="15.75" customHeight="1">
      <c r="A18" s="106" t="s">
        <v>1226</v>
      </c>
      <c r="B18" s="17" t="s">
        <v>1942</v>
      </c>
      <c r="C18" s="78" t="s">
        <v>1943</v>
      </c>
      <c r="D18" s="136">
        <v>639</v>
      </c>
      <c r="E18" s="102">
        <v>70093.62</v>
      </c>
    </row>
    <row r="19" spans="1:5" ht="15.75" customHeight="1">
      <c r="A19" s="106" t="s">
        <v>1228</v>
      </c>
      <c r="B19" s="135" t="s">
        <v>1949</v>
      </c>
      <c r="C19" s="100" t="s">
        <v>805</v>
      </c>
      <c r="D19" s="139">
        <v>309</v>
      </c>
      <c r="E19" s="140">
        <v>386000</v>
      </c>
    </row>
    <row r="20" spans="1:5" ht="15.75" customHeight="1">
      <c r="A20" s="106" t="s">
        <v>1230</v>
      </c>
      <c r="B20" s="135" t="s">
        <v>1950</v>
      </c>
      <c r="C20" s="100" t="s">
        <v>218</v>
      </c>
      <c r="D20" s="139">
        <v>160</v>
      </c>
      <c r="E20" s="140">
        <v>227485</v>
      </c>
    </row>
    <row r="21" spans="1:5" ht="15.75" customHeight="1">
      <c r="A21" s="106" t="s">
        <v>1232</v>
      </c>
      <c r="B21" s="146" t="s">
        <v>1951</v>
      </c>
      <c r="C21" s="147" t="s">
        <v>472</v>
      </c>
      <c r="D21" s="148">
        <v>4236</v>
      </c>
      <c r="E21" s="140">
        <v>1450</v>
      </c>
    </row>
    <row r="22" spans="1:5" ht="15.75" customHeight="1">
      <c r="A22" s="106" t="s">
        <v>1234</v>
      </c>
      <c r="B22" s="146" t="s">
        <v>1952</v>
      </c>
      <c r="C22" s="147" t="s">
        <v>472</v>
      </c>
      <c r="D22" s="148">
        <v>4300</v>
      </c>
      <c r="E22" s="140">
        <v>52262</v>
      </c>
    </row>
    <row r="23" spans="1:5" ht="15.75" customHeight="1">
      <c r="A23" s="106" t="s">
        <v>1236</v>
      </c>
      <c r="B23" s="146" t="s">
        <v>1953</v>
      </c>
      <c r="C23" s="147" t="s">
        <v>1954</v>
      </c>
      <c r="D23" s="148" t="s">
        <v>1955</v>
      </c>
      <c r="E23" s="140">
        <v>44502</v>
      </c>
    </row>
    <row r="24" spans="1:5" ht="15.75" customHeight="1">
      <c r="A24" s="106" t="s">
        <v>1240</v>
      </c>
      <c r="B24" s="146" t="s">
        <v>1956</v>
      </c>
      <c r="C24" s="147" t="s">
        <v>805</v>
      </c>
      <c r="D24" s="148">
        <v>515</v>
      </c>
      <c r="E24" s="140">
        <v>74000</v>
      </c>
    </row>
    <row r="25" spans="1:5" ht="15.75" customHeight="1">
      <c r="A25" s="106" t="s">
        <v>1242</v>
      </c>
      <c r="B25" s="143" t="s">
        <v>1957</v>
      </c>
      <c r="C25" s="144" t="s">
        <v>1906</v>
      </c>
      <c r="D25" s="144" t="s">
        <v>1958</v>
      </c>
      <c r="E25" s="48">
        <v>9000</v>
      </c>
    </row>
    <row r="26" spans="1:5" ht="15.75" customHeight="1">
      <c r="A26" s="106" t="s">
        <v>1245</v>
      </c>
      <c r="B26" s="17" t="s">
        <v>1962</v>
      </c>
      <c r="C26" s="78" t="s">
        <v>1963</v>
      </c>
      <c r="D26" s="136" t="s">
        <v>1964</v>
      </c>
      <c r="E26" s="102">
        <v>3000</v>
      </c>
    </row>
    <row r="27" spans="1:5" ht="15.75" customHeight="1">
      <c r="A27" s="106" t="s">
        <v>1247</v>
      </c>
      <c r="B27" s="135" t="s">
        <v>1967</v>
      </c>
      <c r="C27" s="100" t="s">
        <v>472</v>
      </c>
      <c r="D27" s="139">
        <v>4169</v>
      </c>
      <c r="E27" s="140">
        <v>30130</v>
      </c>
    </row>
    <row r="28" spans="1:5" ht="15.75" customHeight="1">
      <c r="A28" s="106" t="s">
        <v>1249</v>
      </c>
      <c r="B28" s="143" t="s">
        <v>1968</v>
      </c>
      <c r="C28" s="144" t="s">
        <v>1892</v>
      </c>
      <c r="D28" s="145">
        <v>659</v>
      </c>
      <c r="E28" s="48">
        <v>14100</v>
      </c>
    </row>
    <row r="29" spans="1:5" ht="15.75" customHeight="1">
      <c r="A29" s="106" t="s">
        <v>1252</v>
      </c>
      <c r="B29" s="149" t="s">
        <v>1969</v>
      </c>
      <c r="C29" s="100" t="s">
        <v>1728</v>
      </c>
      <c r="D29" s="145">
        <v>172313477</v>
      </c>
      <c r="E29" s="48">
        <v>15880</v>
      </c>
    </row>
    <row r="30" spans="1:5" ht="15.75" customHeight="1">
      <c r="A30" s="106" t="s">
        <v>1255</v>
      </c>
      <c r="B30" s="135" t="s">
        <v>1970</v>
      </c>
      <c r="C30" s="100" t="s">
        <v>1971</v>
      </c>
      <c r="D30" s="136">
        <v>8</v>
      </c>
      <c r="E30" s="102">
        <v>29700</v>
      </c>
    </row>
    <row r="31" spans="1:5" ht="15.75" customHeight="1">
      <c r="A31" s="106" t="s">
        <v>1257</v>
      </c>
      <c r="B31" s="112" t="s">
        <v>1972</v>
      </c>
      <c r="C31" s="113" t="s">
        <v>783</v>
      </c>
      <c r="D31" s="113" t="s">
        <v>1973</v>
      </c>
      <c r="E31" s="18">
        <v>66148</v>
      </c>
    </row>
    <row r="32" spans="1:5" ht="15.75" customHeight="1">
      <c r="A32" s="108" t="s">
        <v>24</v>
      </c>
      <c r="B32" s="203"/>
      <c r="C32" s="204"/>
      <c r="D32" s="205"/>
      <c r="E32" s="49">
        <f>SUM(E12:E31)</f>
        <v>4593497.82</v>
      </c>
    </row>
    <row r="33" spans="1:5" ht="15.75" customHeight="1">
      <c r="A33" s="211"/>
      <c r="B33" s="196"/>
      <c r="C33" s="196"/>
      <c r="D33" s="196"/>
      <c r="E33" s="196"/>
    </row>
    <row r="34" spans="1:5" ht="15.75" customHeight="1">
      <c r="A34" s="211" t="s">
        <v>1976</v>
      </c>
      <c r="B34" s="196"/>
      <c r="C34" s="196"/>
      <c r="D34" s="196"/>
      <c r="E34" s="27">
        <f>E32*8%</f>
        <v>367479.82560000004</v>
      </c>
    </row>
    <row r="35" spans="1:5" ht="14.25" customHeight="1">
      <c r="A35" s="211" t="s">
        <v>25</v>
      </c>
      <c r="B35" s="196"/>
      <c r="C35" s="196"/>
      <c r="D35" s="196"/>
      <c r="E35" s="196"/>
    </row>
    <row r="36" spans="1:5" ht="35.25" customHeight="1">
      <c r="A36" s="211"/>
      <c r="B36" s="196"/>
      <c r="C36" s="196"/>
      <c r="D36" s="196"/>
      <c r="E36" s="196"/>
    </row>
    <row r="37" spans="1:5" ht="15.75" customHeight="1">
      <c r="A37" s="211" t="s">
        <v>26</v>
      </c>
      <c r="B37" s="196"/>
      <c r="C37" s="196"/>
      <c r="D37" s="196"/>
      <c r="E37" s="196"/>
    </row>
    <row r="38" spans="1:5" ht="15.75" customHeight="1">
      <c r="A38" s="211" t="s">
        <v>27</v>
      </c>
      <c r="B38" s="196"/>
      <c r="C38" s="196"/>
      <c r="D38" s="196"/>
      <c r="E38" s="196"/>
    </row>
    <row r="39" spans="1:5" ht="15.75" customHeight="1">
      <c r="A39" s="211" t="s">
        <v>28</v>
      </c>
      <c r="B39" s="196"/>
      <c r="C39" s="196"/>
      <c r="D39" s="196"/>
      <c r="E39" s="196"/>
    </row>
  </sheetData>
  <mergeCells count="18">
    <mergeCell ref="A39:E39"/>
    <mergeCell ref="A8:E8"/>
    <mergeCell ref="A9:E9"/>
    <mergeCell ref="A10:E10"/>
    <mergeCell ref="B32:D32"/>
    <mergeCell ref="A33:E33"/>
    <mergeCell ref="A34:D34"/>
    <mergeCell ref="A35:E35"/>
    <mergeCell ref="A6:E6"/>
    <mergeCell ref="A7:E7"/>
    <mergeCell ref="A36:E36"/>
    <mergeCell ref="A37:E37"/>
    <mergeCell ref="A38:E38"/>
    <mergeCell ref="A1:E1"/>
    <mergeCell ref="A2:E2"/>
    <mergeCell ref="A3:E3"/>
    <mergeCell ref="A4:E4"/>
    <mergeCell ref="A5:E5"/>
  </mergeCells>
  <conditionalFormatting sqref="E12:E31">
    <cfRule type="notContainsBlanks" dxfId="34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  <pageSetUpPr fitToPage="1"/>
  </sheetPr>
  <dimension ref="A1:E47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4.1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1977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06" t="s">
        <v>1209</v>
      </c>
      <c r="B12" s="17" t="s">
        <v>394</v>
      </c>
      <c r="C12" s="113" t="s">
        <v>1728</v>
      </c>
      <c r="D12" s="98">
        <v>171588959</v>
      </c>
      <c r="E12" s="18">
        <v>14056</v>
      </c>
    </row>
    <row r="13" spans="1:5" ht="15.75" customHeight="1">
      <c r="A13" s="106" t="s">
        <v>1212</v>
      </c>
      <c r="B13" s="135" t="s">
        <v>1978</v>
      </c>
      <c r="C13" s="113" t="s">
        <v>1728</v>
      </c>
      <c r="D13" s="133" t="s">
        <v>1979</v>
      </c>
      <c r="E13" s="102">
        <v>9000</v>
      </c>
    </row>
    <row r="14" spans="1:5" ht="15.75" customHeight="1">
      <c r="A14" s="106" t="s">
        <v>1215</v>
      </c>
      <c r="B14" s="109" t="s">
        <v>1980</v>
      </c>
      <c r="C14" s="42" t="s">
        <v>1906</v>
      </c>
      <c r="D14" s="107" t="s">
        <v>1981</v>
      </c>
      <c r="E14" s="44">
        <v>185540</v>
      </c>
    </row>
    <row r="15" spans="1:5" ht="15.75" customHeight="1">
      <c r="A15" s="106" t="s">
        <v>1217</v>
      </c>
      <c r="B15" s="17" t="s">
        <v>1982</v>
      </c>
      <c r="C15" s="42" t="s">
        <v>1906</v>
      </c>
      <c r="D15" s="98" t="s">
        <v>1983</v>
      </c>
      <c r="E15" s="18">
        <v>46300</v>
      </c>
    </row>
    <row r="16" spans="1:5" ht="15.75" customHeight="1">
      <c r="A16" s="106" t="s">
        <v>1221</v>
      </c>
      <c r="B16" s="143" t="s">
        <v>1984</v>
      </c>
      <c r="C16" s="144" t="s">
        <v>329</v>
      </c>
      <c r="D16" s="144" t="s">
        <v>1985</v>
      </c>
      <c r="E16" s="48">
        <v>20417.599999999999</v>
      </c>
    </row>
    <row r="17" spans="1:5" ht="15.75" customHeight="1">
      <c r="A17" s="106" t="s">
        <v>1224</v>
      </c>
      <c r="B17" s="149" t="s">
        <v>1986</v>
      </c>
      <c r="C17" s="100" t="s">
        <v>1987</v>
      </c>
      <c r="D17" s="144">
        <v>730.73900000000003</v>
      </c>
      <c r="E17" s="48">
        <v>18000</v>
      </c>
    </row>
    <row r="18" spans="1:5" ht="15.75" customHeight="1">
      <c r="A18" s="106" t="s">
        <v>1226</v>
      </c>
      <c r="B18" s="24" t="s">
        <v>1988</v>
      </c>
      <c r="C18" s="113" t="s">
        <v>783</v>
      </c>
      <c r="D18" s="107" t="s">
        <v>1989</v>
      </c>
      <c r="E18" s="44">
        <v>55710</v>
      </c>
    </row>
    <row r="19" spans="1:5" ht="15.75" customHeight="1">
      <c r="A19" s="106" t="s">
        <v>1228</v>
      </c>
      <c r="B19" s="24" t="s">
        <v>1990</v>
      </c>
      <c r="C19" s="139" t="s">
        <v>1728</v>
      </c>
      <c r="D19" s="78">
        <v>172768989</v>
      </c>
      <c r="E19" s="14">
        <v>25938</v>
      </c>
    </row>
    <row r="20" spans="1:5" ht="15.75" customHeight="1">
      <c r="A20" s="106" t="s">
        <v>1230</v>
      </c>
      <c r="B20" s="112" t="s">
        <v>1991</v>
      </c>
      <c r="C20" s="113" t="s">
        <v>1992</v>
      </c>
      <c r="D20" s="113" t="s">
        <v>1993</v>
      </c>
      <c r="E20" s="14">
        <v>123332.76</v>
      </c>
    </row>
    <row r="21" spans="1:5" ht="15.75" customHeight="1">
      <c r="A21" s="106" t="s">
        <v>1232</v>
      </c>
      <c r="B21" s="138" t="s">
        <v>1994</v>
      </c>
      <c r="C21" s="139" t="s">
        <v>634</v>
      </c>
      <c r="D21" s="139">
        <v>253</v>
      </c>
      <c r="E21" s="140">
        <v>8569</v>
      </c>
    </row>
    <row r="22" spans="1:5" ht="15.75" customHeight="1">
      <c r="A22" s="106" t="s">
        <v>1234</v>
      </c>
      <c r="B22" s="24" t="s">
        <v>1995</v>
      </c>
      <c r="C22" s="78" t="s">
        <v>378</v>
      </c>
      <c r="D22" s="78">
        <v>2805</v>
      </c>
      <c r="E22" s="14">
        <v>44000</v>
      </c>
    </row>
    <row r="23" spans="1:5" ht="15.75" customHeight="1">
      <c r="A23" s="106" t="s">
        <v>1236</v>
      </c>
      <c r="B23" s="109" t="s">
        <v>1996</v>
      </c>
      <c r="C23" s="42" t="s">
        <v>56</v>
      </c>
      <c r="D23" s="107">
        <v>69</v>
      </c>
      <c r="E23" s="44">
        <v>122400</v>
      </c>
    </row>
    <row r="24" spans="1:5" ht="15.75" customHeight="1">
      <c r="A24" s="106" t="s">
        <v>1240</v>
      </c>
      <c r="B24" s="109" t="s">
        <v>1997</v>
      </c>
      <c r="C24" s="42" t="s">
        <v>1906</v>
      </c>
      <c r="D24" s="107" t="s">
        <v>1998</v>
      </c>
      <c r="E24" s="44">
        <v>7500</v>
      </c>
    </row>
    <row r="25" spans="1:5" ht="15.75" customHeight="1">
      <c r="A25" s="106" t="s">
        <v>1242</v>
      </c>
      <c r="B25" s="135" t="s">
        <v>1819</v>
      </c>
      <c r="C25" s="100" t="s">
        <v>1820</v>
      </c>
      <c r="D25" s="139">
        <v>50</v>
      </c>
      <c r="E25" s="140">
        <v>7138478</v>
      </c>
    </row>
    <row r="26" spans="1:5" ht="15.75" customHeight="1">
      <c r="A26" s="106" t="s">
        <v>1245</v>
      </c>
      <c r="B26" s="135" t="s">
        <v>1999</v>
      </c>
      <c r="C26" s="100" t="s">
        <v>1514</v>
      </c>
      <c r="D26" s="139" t="s">
        <v>2000</v>
      </c>
      <c r="E26" s="140">
        <v>3300</v>
      </c>
    </row>
    <row r="27" spans="1:5" ht="15.75" customHeight="1">
      <c r="A27" s="106" t="s">
        <v>1247</v>
      </c>
      <c r="B27" s="24" t="s">
        <v>2001</v>
      </c>
      <c r="C27" s="78" t="s">
        <v>2002</v>
      </c>
      <c r="D27" s="78" t="s">
        <v>2003</v>
      </c>
      <c r="E27" s="14">
        <v>4659.34</v>
      </c>
    </row>
    <row r="28" spans="1:5" ht="15.75" customHeight="1">
      <c r="A28" s="106" t="s">
        <v>1249</v>
      </c>
      <c r="B28" s="135" t="s">
        <v>2004</v>
      </c>
      <c r="C28" s="100" t="s">
        <v>828</v>
      </c>
      <c r="D28" s="136" t="s">
        <v>2005</v>
      </c>
      <c r="E28" s="102">
        <v>38600</v>
      </c>
    </row>
    <row r="29" spans="1:5" ht="15.75" customHeight="1">
      <c r="A29" s="106" t="s">
        <v>1252</v>
      </c>
      <c r="B29" s="146" t="s">
        <v>2006</v>
      </c>
      <c r="C29" s="147" t="s">
        <v>783</v>
      </c>
      <c r="D29" s="148" t="s">
        <v>2007</v>
      </c>
      <c r="E29" s="140">
        <v>14500</v>
      </c>
    </row>
    <row r="30" spans="1:5" ht="15.75" customHeight="1">
      <c r="A30" s="106" t="s">
        <v>1255</v>
      </c>
      <c r="B30" s="135" t="s">
        <v>2008</v>
      </c>
      <c r="C30" s="100" t="s">
        <v>2009</v>
      </c>
      <c r="D30" s="136" t="s">
        <v>2010</v>
      </c>
      <c r="E30" s="102">
        <v>7926.41</v>
      </c>
    </row>
    <row r="31" spans="1:5" ht="15.75" customHeight="1">
      <c r="A31" s="106" t="s">
        <v>1257</v>
      </c>
      <c r="B31" s="112" t="s">
        <v>1863</v>
      </c>
      <c r="C31" s="113" t="s">
        <v>1864</v>
      </c>
      <c r="D31" s="113">
        <v>105</v>
      </c>
      <c r="E31" s="14">
        <v>2300081.23</v>
      </c>
    </row>
    <row r="32" spans="1:5" ht="15.75" customHeight="1">
      <c r="A32" s="106" t="s">
        <v>1259</v>
      </c>
      <c r="B32" s="24" t="s">
        <v>2011</v>
      </c>
      <c r="C32" s="113" t="s">
        <v>1945</v>
      </c>
      <c r="D32" s="107" t="s">
        <v>2012</v>
      </c>
      <c r="E32" s="44">
        <v>11520</v>
      </c>
    </row>
    <row r="33" spans="1:5" ht="15.75" customHeight="1">
      <c r="A33" s="106" t="s">
        <v>1263</v>
      </c>
      <c r="B33" s="138" t="s">
        <v>2013</v>
      </c>
      <c r="C33" s="139" t="s">
        <v>2014</v>
      </c>
      <c r="D33" s="139" t="s">
        <v>2015</v>
      </c>
      <c r="E33" s="140">
        <v>1158</v>
      </c>
    </row>
    <row r="34" spans="1:5" ht="15.75" customHeight="1">
      <c r="A34" s="106" t="s">
        <v>1267</v>
      </c>
      <c r="B34" s="146" t="s">
        <v>2016</v>
      </c>
      <c r="C34" s="147" t="s">
        <v>1514</v>
      </c>
      <c r="D34" s="148" t="s">
        <v>2017</v>
      </c>
      <c r="E34" s="140">
        <v>25000</v>
      </c>
    </row>
    <row r="35" spans="1:5" ht="15.75" customHeight="1">
      <c r="A35" s="106" t="s">
        <v>1270</v>
      </c>
      <c r="B35" s="143" t="s">
        <v>2018</v>
      </c>
      <c r="C35" s="144" t="s">
        <v>2019</v>
      </c>
      <c r="D35" s="144" t="s">
        <v>2020</v>
      </c>
      <c r="E35" s="48">
        <v>28572</v>
      </c>
    </row>
    <row r="36" spans="1:5" ht="15.75" customHeight="1">
      <c r="A36" s="106" t="s">
        <v>1273</v>
      </c>
      <c r="B36" s="143" t="s">
        <v>151</v>
      </c>
      <c r="C36" s="147" t="s">
        <v>51</v>
      </c>
      <c r="D36" s="144" t="s">
        <v>2021</v>
      </c>
      <c r="E36" s="48">
        <v>4272</v>
      </c>
    </row>
    <row r="37" spans="1:5" ht="15.75" customHeight="1">
      <c r="A37" s="106" t="s">
        <v>1275</v>
      </c>
      <c r="B37" s="143" t="s">
        <v>2022</v>
      </c>
      <c r="C37" s="147" t="s">
        <v>1728</v>
      </c>
      <c r="D37" s="144">
        <v>175125460</v>
      </c>
      <c r="E37" s="48">
        <v>13046</v>
      </c>
    </row>
    <row r="38" spans="1:5" ht="15.75" customHeight="1">
      <c r="A38" s="106" t="s">
        <v>1278</v>
      </c>
      <c r="B38" s="110" t="s">
        <v>2023</v>
      </c>
      <c r="C38" s="150" t="s">
        <v>16</v>
      </c>
      <c r="D38" s="150">
        <v>203</v>
      </c>
      <c r="E38" s="48">
        <v>40248</v>
      </c>
    </row>
    <row r="39" spans="1:5" ht="15.75" customHeight="1">
      <c r="A39" s="106" t="s">
        <v>1281</v>
      </c>
      <c r="B39" s="149" t="s">
        <v>2024</v>
      </c>
      <c r="C39" s="151" t="s">
        <v>56</v>
      </c>
      <c r="D39" s="151">
        <v>204</v>
      </c>
      <c r="E39" s="48">
        <v>290000</v>
      </c>
    </row>
    <row r="40" spans="1:5" ht="15.75" customHeight="1">
      <c r="A40" s="108" t="s">
        <v>24</v>
      </c>
      <c r="B40" s="203"/>
      <c r="C40" s="204"/>
      <c r="D40" s="205"/>
      <c r="E40" s="49">
        <f>SUM(E12:E39)</f>
        <v>10602124.34</v>
      </c>
    </row>
    <row r="41" spans="1:5" ht="15.75" customHeight="1">
      <c r="A41" s="211"/>
      <c r="B41" s="196"/>
      <c r="C41" s="196"/>
      <c r="D41" s="196"/>
      <c r="E41" s="196"/>
    </row>
    <row r="42" spans="1:5" ht="15.75" customHeight="1">
      <c r="A42" s="211" t="s">
        <v>2025</v>
      </c>
      <c r="B42" s="196"/>
      <c r="C42" s="196"/>
      <c r="D42" s="196"/>
      <c r="E42" s="27">
        <f>IF(E40&gt;=10000000,5000000*2%+5000000*1%+(E40-10000000)*0.5%,IF(E40&gt;=5000000,5000000*2%+(E40-5000000)*1%,E40*2%))</f>
        <v>153010.62169999999</v>
      </c>
    </row>
    <row r="43" spans="1:5" ht="14.25" customHeight="1">
      <c r="A43" s="211" t="s">
        <v>25</v>
      </c>
      <c r="B43" s="196"/>
      <c r="C43" s="196"/>
      <c r="D43" s="196"/>
      <c r="E43" s="196"/>
    </row>
    <row r="44" spans="1:5" ht="35.25" customHeight="1">
      <c r="A44" s="211"/>
      <c r="B44" s="196"/>
      <c r="C44" s="196"/>
      <c r="D44" s="196"/>
      <c r="E44" s="196"/>
    </row>
    <row r="45" spans="1:5" ht="15.75" customHeight="1">
      <c r="A45" s="211" t="s">
        <v>26</v>
      </c>
      <c r="B45" s="196"/>
      <c r="C45" s="196"/>
      <c r="D45" s="196"/>
      <c r="E45" s="196"/>
    </row>
    <row r="46" spans="1:5" ht="15.75" customHeight="1">
      <c r="A46" s="211" t="s">
        <v>27</v>
      </c>
      <c r="B46" s="196"/>
      <c r="C46" s="196"/>
      <c r="D46" s="196"/>
      <c r="E46" s="196"/>
    </row>
    <row r="47" spans="1:5" ht="15.75" customHeight="1">
      <c r="A47" s="211" t="s">
        <v>28</v>
      </c>
      <c r="B47" s="196"/>
      <c r="C47" s="196"/>
      <c r="D47" s="196"/>
      <c r="E47" s="196"/>
    </row>
  </sheetData>
  <mergeCells count="18">
    <mergeCell ref="A47:E47"/>
    <mergeCell ref="A8:E8"/>
    <mergeCell ref="A9:E9"/>
    <mergeCell ref="A10:E10"/>
    <mergeCell ref="B40:D40"/>
    <mergeCell ref="A41:E41"/>
    <mergeCell ref="A42:D42"/>
    <mergeCell ref="A43:E43"/>
    <mergeCell ref="A6:E6"/>
    <mergeCell ref="A7:E7"/>
    <mergeCell ref="A44:E44"/>
    <mergeCell ref="A45:E45"/>
    <mergeCell ref="A46:E46"/>
    <mergeCell ref="A1:E1"/>
    <mergeCell ref="A2:E2"/>
    <mergeCell ref="A3:E3"/>
    <mergeCell ref="A4:E4"/>
    <mergeCell ref="A5:E5"/>
  </mergeCells>
  <conditionalFormatting sqref="E12:E39">
    <cfRule type="notContainsBlanks" dxfId="33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  <pageSetUpPr fitToPage="1"/>
  </sheetPr>
  <dimension ref="A1:E45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4.1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2026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9" t="s">
        <v>12</v>
      </c>
      <c r="E11" s="77" t="s">
        <v>11</v>
      </c>
    </row>
    <row r="12" spans="1:5" ht="15.75" customHeight="1">
      <c r="A12" s="106" t="s">
        <v>1209</v>
      </c>
      <c r="B12" s="17" t="s">
        <v>394</v>
      </c>
      <c r="C12" s="113" t="s">
        <v>1728</v>
      </c>
      <c r="D12" s="98">
        <v>171588959</v>
      </c>
      <c r="E12" s="18">
        <v>14056</v>
      </c>
    </row>
    <row r="13" spans="1:5" ht="15.75" customHeight="1">
      <c r="A13" s="106" t="s">
        <v>1212</v>
      </c>
      <c r="B13" s="135" t="s">
        <v>1978</v>
      </c>
      <c r="C13" s="113" t="s">
        <v>1728</v>
      </c>
      <c r="D13" s="133" t="s">
        <v>1979</v>
      </c>
      <c r="E13" s="102">
        <v>9000</v>
      </c>
    </row>
    <row r="14" spans="1:5" ht="15.75" customHeight="1">
      <c r="A14" s="106" t="s">
        <v>1215</v>
      </c>
      <c r="B14" s="109" t="s">
        <v>1980</v>
      </c>
      <c r="C14" s="42" t="s">
        <v>1906</v>
      </c>
      <c r="D14" s="107" t="s">
        <v>1981</v>
      </c>
      <c r="E14" s="44">
        <v>185540</v>
      </c>
    </row>
    <row r="15" spans="1:5" ht="15.75" customHeight="1">
      <c r="A15" s="106" t="s">
        <v>1217</v>
      </c>
      <c r="B15" s="17" t="s">
        <v>1982</v>
      </c>
      <c r="C15" s="42" t="s">
        <v>1906</v>
      </c>
      <c r="D15" s="98" t="s">
        <v>1983</v>
      </c>
      <c r="E15" s="18">
        <v>46300</v>
      </c>
    </row>
    <row r="16" spans="1:5" ht="15.75" customHeight="1">
      <c r="A16" s="106" t="s">
        <v>1221</v>
      </c>
      <c r="B16" s="143" t="s">
        <v>1984</v>
      </c>
      <c r="C16" s="144" t="s">
        <v>329</v>
      </c>
      <c r="D16" s="144" t="s">
        <v>1985</v>
      </c>
      <c r="E16" s="48">
        <v>20417.599999999999</v>
      </c>
    </row>
    <row r="17" spans="1:5" ht="15.75" customHeight="1">
      <c r="A17" s="106" t="s">
        <v>1224</v>
      </c>
      <c r="B17" s="149" t="s">
        <v>1986</v>
      </c>
      <c r="C17" s="100" t="s">
        <v>1987</v>
      </c>
      <c r="D17" s="144">
        <v>730.73900000000003</v>
      </c>
      <c r="E17" s="48">
        <v>18000</v>
      </c>
    </row>
    <row r="18" spans="1:5" ht="15.75" customHeight="1">
      <c r="A18" s="106" t="s">
        <v>1226</v>
      </c>
      <c r="B18" s="24" t="s">
        <v>1988</v>
      </c>
      <c r="C18" s="113" t="s">
        <v>783</v>
      </c>
      <c r="D18" s="107" t="s">
        <v>1989</v>
      </c>
      <c r="E18" s="44">
        <v>55710</v>
      </c>
    </row>
    <row r="19" spans="1:5" ht="15.75" customHeight="1">
      <c r="A19" s="106" t="s">
        <v>1228</v>
      </c>
      <c r="B19" s="24" t="s">
        <v>1990</v>
      </c>
      <c r="C19" s="139" t="s">
        <v>1728</v>
      </c>
      <c r="D19" s="78">
        <v>172768989</v>
      </c>
      <c r="E19" s="14">
        <v>25938</v>
      </c>
    </row>
    <row r="20" spans="1:5" ht="15.75" customHeight="1">
      <c r="A20" s="106" t="s">
        <v>1230</v>
      </c>
      <c r="B20" s="112" t="s">
        <v>1991</v>
      </c>
      <c r="C20" s="113" t="s">
        <v>1992</v>
      </c>
      <c r="D20" s="113" t="s">
        <v>1993</v>
      </c>
      <c r="E20" s="14">
        <v>123332.76</v>
      </c>
    </row>
    <row r="21" spans="1:5" ht="15.75" customHeight="1">
      <c r="A21" s="106" t="s">
        <v>1232</v>
      </c>
      <c r="B21" s="138" t="s">
        <v>1994</v>
      </c>
      <c r="C21" s="139" t="s">
        <v>634</v>
      </c>
      <c r="D21" s="139">
        <v>253</v>
      </c>
      <c r="E21" s="140">
        <v>8569</v>
      </c>
    </row>
    <row r="22" spans="1:5" ht="15.75" customHeight="1">
      <c r="A22" s="106" t="s">
        <v>1234</v>
      </c>
      <c r="B22" s="109" t="s">
        <v>1996</v>
      </c>
      <c r="C22" s="42" t="s">
        <v>56</v>
      </c>
      <c r="D22" s="107">
        <v>69</v>
      </c>
      <c r="E22" s="44">
        <v>122400</v>
      </c>
    </row>
    <row r="23" spans="1:5" ht="15.75" customHeight="1">
      <c r="A23" s="106" t="s">
        <v>1236</v>
      </c>
      <c r="B23" s="109" t="s">
        <v>1997</v>
      </c>
      <c r="C23" s="42" t="s">
        <v>1906</v>
      </c>
      <c r="D23" s="107" t="s">
        <v>1998</v>
      </c>
      <c r="E23" s="44">
        <v>7500</v>
      </c>
    </row>
    <row r="24" spans="1:5" ht="15.75" customHeight="1">
      <c r="A24" s="106" t="s">
        <v>1240</v>
      </c>
      <c r="B24" s="135" t="s">
        <v>1819</v>
      </c>
      <c r="C24" s="100" t="s">
        <v>1820</v>
      </c>
      <c r="D24" s="139">
        <v>50</v>
      </c>
      <c r="E24" s="140">
        <v>4233911.9000000004</v>
      </c>
    </row>
    <row r="25" spans="1:5" ht="15.75" customHeight="1">
      <c r="A25" s="106" t="s">
        <v>1242</v>
      </c>
      <c r="B25" s="135" t="s">
        <v>1999</v>
      </c>
      <c r="C25" s="100" t="s">
        <v>1514</v>
      </c>
      <c r="D25" s="139" t="s">
        <v>2000</v>
      </c>
      <c r="E25" s="140">
        <v>3300</v>
      </c>
    </row>
    <row r="26" spans="1:5" ht="15.75" customHeight="1">
      <c r="A26" s="106" t="s">
        <v>1245</v>
      </c>
      <c r="B26" s="24" t="s">
        <v>2001</v>
      </c>
      <c r="C26" s="78" t="s">
        <v>2002</v>
      </c>
      <c r="D26" s="78" t="s">
        <v>2003</v>
      </c>
      <c r="E26" s="14">
        <v>4659.34</v>
      </c>
    </row>
    <row r="27" spans="1:5" ht="15.75" customHeight="1">
      <c r="A27" s="106" t="s">
        <v>1247</v>
      </c>
      <c r="B27" s="135" t="s">
        <v>2004</v>
      </c>
      <c r="C27" s="100" t="s">
        <v>828</v>
      </c>
      <c r="D27" s="136" t="s">
        <v>2005</v>
      </c>
      <c r="E27" s="102">
        <v>38600</v>
      </c>
    </row>
    <row r="28" spans="1:5" ht="15.75" customHeight="1">
      <c r="A28" s="106" t="s">
        <v>1249</v>
      </c>
      <c r="B28" s="146" t="s">
        <v>2006</v>
      </c>
      <c r="C28" s="147" t="s">
        <v>783</v>
      </c>
      <c r="D28" s="148" t="s">
        <v>2007</v>
      </c>
      <c r="E28" s="140">
        <v>14500</v>
      </c>
    </row>
    <row r="29" spans="1:5" ht="15.75" customHeight="1">
      <c r="A29" s="106" t="s">
        <v>1252</v>
      </c>
      <c r="B29" s="135" t="s">
        <v>2008</v>
      </c>
      <c r="C29" s="100" t="s">
        <v>2009</v>
      </c>
      <c r="D29" s="136" t="s">
        <v>2010</v>
      </c>
      <c r="E29" s="102">
        <v>7926.41</v>
      </c>
    </row>
    <row r="30" spans="1:5" ht="15.75" customHeight="1">
      <c r="A30" s="106" t="s">
        <v>1255</v>
      </c>
      <c r="B30" s="24" t="s">
        <v>2011</v>
      </c>
      <c r="C30" s="113" t="s">
        <v>1945</v>
      </c>
      <c r="D30" s="107" t="s">
        <v>2012</v>
      </c>
      <c r="E30" s="44">
        <v>11520</v>
      </c>
    </row>
    <row r="31" spans="1:5" ht="15.75" customHeight="1">
      <c r="A31" s="106" t="s">
        <v>1257</v>
      </c>
      <c r="B31" s="138" t="s">
        <v>2013</v>
      </c>
      <c r="C31" s="139" t="s">
        <v>2014</v>
      </c>
      <c r="D31" s="139" t="s">
        <v>2015</v>
      </c>
      <c r="E31" s="140">
        <v>1158</v>
      </c>
    </row>
    <row r="32" spans="1:5" ht="15.75" customHeight="1">
      <c r="A32" s="106" t="s">
        <v>1259</v>
      </c>
      <c r="B32" s="146" t="s">
        <v>2016</v>
      </c>
      <c r="C32" s="147" t="s">
        <v>1514</v>
      </c>
      <c r="D32" s="148" t="s">
        <v>2017</v>
      </c>
      <c r="E32" s="140">
        <v>25000</v>
      </c>
    </row>
    <row r="33" spans="1:5" ht="15.75" customHeight="1">
      <c r="A33" s="106" t="s">
        <v>1263</v>
      </c>
      <c r="B33" s="143" t="s">
        <v>2018</v>
      </c>
      <c r="C33" s="144" t="s">
        <v>2019</v>
      </c>
      <c r="D33" s="144" t="s">
        <v>2020</v>
      </c>
      <c r="E33" s="48">
        <v>28572</v>
      </c>
    </row>
    <row r="34" spans="1:5" ht="15.75" customHeight="1">
      <c r="A34" s="106" t="s">
        <v>1267</v>
      </c>
      <c r="B34" s="143" t="s">
        <v>151</v>
      </c>
      <c r="C34" s="147" t="s">
        <v>51</v>
      </c>
      <c r="D34" s="144" t="s">
        <v>2021</v>
      </c>
      <c r="E34" s="48">
        <v>4272</v>
      </c>
    </row>
    <row r="35" spans="1:5" ht="15.75" customHeight="1">
      <c r="A35" s="106" t="s">
        <v>1270</v>
      </c>
      <c r="B35" s="143" t="s">
        <v>2022</v>
      </c>
      <c r="C35" s="147" t="s">
        <v>1728</v>
      </c>
      <c r="D35" s="144">
        <v>175125460</v>
      </c>
      <c r="E35" s="48">
        <v>13046</v>
      </c>
    </row>
    <row r="36" spans="1:5" ht="15.75" customHeight="1">
      <c r="A36" s="106" t="s">
        <v>1273</v>
      </c>
      <c r="B36" s="110" t="s">
        <v>2023</v>
      </c>
      <c r="C36" s="150" t="s">
        <v>16</v>
      </c>
      <c r="D36" s="150">
        <v>203</v>
      </c>
      <c r="E36" s="48">
        <v>40248</v>
      </c>
    </row>
    <row r="37" spans="1:5" ht="15.75" customHeight="1">
      <c r="A37" s="106" t="s">
        <v>1275</v>
      </c>
      <c r="B37" s="149" t="s">
        <v>2024</v>
      </c>
      <c r="C37" s="151" t="s">
        <v>56</v>
      </c>
      <c r="D37" s="151">
        <v>204</v>
      </c>
      <c r="E37" s="48">
        <v>290000</v>
      </c>
    </row>
    <row r="38" spans="1:5" ht="15.75" customHeight="1">
      <c r="A38" s="108" t="s">
        <v>24</v>
      </c>
      <c r="B38" s="203"/>
      <c r="C38" s="204"/>
      <c r="D38" s="205"/>
      <c r="E38" s="49">
        <f>SUM(E12:E37)</f>
        <v>5353477.0100000007</v>
      </c>
    </row>
    <row r="39" spans="1:5" ht="15.75" customHeight="1">
      <c r="A39" s="211"/>
      <c r="B39" s="196"/>
      <c r="C39" s="196"/>
      <c r="D39" s="196"/>
      <c r="E39" s="196"/>
    </row>
    <row r="40" spans="1:5" ht="15.75" customHeight="1">
      <c r="A40" s="211" t="s">
        <v>2027</v>
      </c>
      <c r="B40" s="196"/>
      <c r="C40" s="196"/>
      <c r="D40" s="196"/>
      <c r="E40" s="27">
        <f>E38*8%</f>
        <v>428278.16080000007</v>
      </c>
    </row>
    <row r="41" spans="1:5" ht="14.25" customHeight="1">
      <c r="A41" s="211" t="s">
        <v>25</v>
      </c>
      <c r="B41" s="196"/>
      <c r="C41" s="196"/>
      <c r="D41" s="196"/>
      <c r="E41" s="196"/>
    </row>
    <row r="42" spans="1:5" ht="35.25" customHeight="1">
      <c r="A42" s="211"/>
      <c r="B42" s="196"/>
      <c r="C42" s="196"/>
      <c r="D42" s="196"/>
      <c r="E42" s="196"/>
    </row>
    <row r="43" spans="1:5" ht="15.75" customHeight="1">
      <c r="A43" s="211" t="s">
        <v>26</v>
      </c>
      <c r="B43" s="196"/>
      <c r="C43" s="196"/>
      <c r="D43" s="196"/>
      <c r="E43" s="196"/>
    </row>
    <row r="44" spans="1:5" ht="15.75" customHeight="1">
      <c r="A44" s="211" t="s">
        <v>27</v>
      </c>
      <c r="B44" s="196"/>
      <c r="C44" s="196"/>
      <c r="D44" s="196"/>
      <c r="E44" s="196"/>
    </row>
    <row r="45" spans="1:5" ht="15.75" customHeight="1">
      <c r="A45" s="211" t="s">
        <v>28</v>
      </c>
      <c r="B45" s="196"/>
      <c r="C45" s="196"/>
      <c r="D45" s="196"/>
      <c r="E45" s="196"/>
    </row>
  </sheetData>
  <mergeCells count="18">
    <mergeCell ref="A45:E45"/>
    <mergeCell ref="A8:E8"/>
    <mergeCell ref="A9:E9"/>
    <mergeCell ref="A10:E10"/>
    <mergeCell ref="B38:D38"/>
    <mergeCell ref="A39:E39"/>
    <mergeCell ref="A40:D40"/>
    <mergeCell ref="A41:E41"/>
    <mergeCell ref="A6:E6"/>
    <mergeCell ref="A7:E7"/>
    <mergeCell ref="A42:E42"/>
    <mergeCell ref="A43:E43"/>
    <mergeCell ref="A44:E44"/>
    <mergeCell ref="A1:E1"/>
    <mergeCell ref="A2:E2"/>
    <mergeCell ref="A3:E3"/>
    <mergeCell ref="A4:E4"/>
    <mergeCell ref="A5:E5"/>
  </mergeCells>
  <conditionalFormatting sqref="E12:E37">
    <cfRule type="notContainsBlanks" dxfId="32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  <pageSetUpPr fitToPage="1"/>
  </sheetPr>
  <dimension ref="A1:E56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4.1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2028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52" t="s">
        <v>1209</v>
      </c>
      <c r="B12" s="143" t="s">
        <v>2029</v>
      </c>
      <c r="C12" s="144" t="s">
        <v>2030</v>
      </c>
      <c r="D12" s="153" t="s">
        <v>2031</v>
      </c>
      <c r="E12" s="48">
        <v>13802</v>
      </c>
    </row>
    <row r="13" spans="1:5" ht="15.75" customHeight="1">
      <c r="A13" s="152" t="s">
        <v>1212</v>
      </c>
      <c r="B13" s="154" t="s">
        <v>2032</v>
      </c>
      <c r="C13" s="148" t="s">
        <v>2033</v>
      </c>
      <c r="D13" s="155" t="s">
        <v>2034</v>
      </c>
      <c r="E13" s="140">
        <v>288000</v>
      </c>
    </row>
    <row r="14" spans="1:5" ht="15.75" customHeight="1">
      <c r="A14" s="152" t="s">
        <v>1215</v>
      </c>
      <c r="B14" s="149" t="s">
        <v>2035</v>
      </c>
      <c r="C14" s="100" t="s">
        <v>2033</v>
      </c>
      <c r="D14" s="156" t="s">
        <v>2036</v>
      </c>
      <c r="E14" s="134">
        <v>330000</v>
      </c>
    </row>
    <row r="15" spans="1:5" ht="15.75" customHeight="1">
      <c r="A15" s="152" t="s">
        <v>1217</v>
      </c>
      <c r="B15" s="157" t="s">
        <v>2037</v>
      </c>
      <c r="C15" s="100" t="s">
        <v>1759</v>
      </c>
      <c r="D15" s="158" t="s">
        <v>2038</v>
      </c>
      <c r="E15" s="102">
        <v>16000</v>
      </c>
    </row>
    <row r="16" spans="1:5" ht="15.75" customHeight="1">
      <c r="A16" s="152" t="s">
        <v>1221</v>
      </c>
      <c r="B16" s="24" t="s">
        <v>2039</v>
      </c>
      <c r="C16" s="113" t="s">
        <v>378</v>
      </c>
      <c r="D16" s="159" t="s">
        <v>2040</v>
      </c>
      <c r="E16" s="44">
        <v>5500</v>
      </c>
    </row>
    <row r="17" spans="1:5" ht="15.75" customHeight="1">
      <c r="A17" s="152" t="s">
        <v>1224</v>
      </c>
      <c r="B17" s="157" t="s">
        <v>2041</v>
      </c>
      <c r="C17" s="100" t="s">
        <v>1869</v>
      </c>
      <c r="D17" s="136">
        <v>369</v>
      </c>
      <c r="E17" s="102">
        <v>10556</v>
      </c>
    </row>
    <row r="18" spans="1:5" ht="15.75" customHeight="1">
      <c r="A18" s="152" t="s">
        <v>1226</v>
      </c>
      <c r="B18" s="135" t="s">
        <v>2042</v>
      </c>
      <c r="C18" s="100" t="s">
        <v>1869</v>
      </c>
      <c r="D18" s="139">
        <v>398</v>
      </c>
      <c r="E18" s="140">
        <v>10582</v>
      </c>
    </row>
    <row r="19" spans="1:5" ht="15.75" customHeight="1">
      <c r="A19" s="152" t="s">
        <v>1228</v>
      </c>
      <c r="B19" s="135" t="s">
        <v>2043</v>
      </c>
      <c r="C19" s="100" t="s">
        <v>1869</v>
      </c>
      <c r="D19" s="160" t="s">
        <v>2044</v>
      </c>
      <c r="E19" s="140">
        <v>36853.800000000003</v>
      </c>
    </row>
    <row r="20" spans="1:5" ht="15.75" customHeight="1">
      <c r="A20" s="152" t="s">
        <v>1230</v>
      </c>
      <c r="B20" s="24" t="s">
        <v>2045</v>
      </c>
      <c r="C20" s="139" t="s">
        <v>56</v>
      </c>
      <c r="D20" s="161" t="s">
        <v>2034</v>
      </c>
      <c r="E20" s="14">
        <v>6724</v>
      </c>
    </row>
    <row r="21" spans="1:5" ht="15.75" customHeight="1">
      <c r="A21" s="152" t="s">
        <v>1232</v>
      </c>
      <c r="B21" s="143" t="s">
        <v>2046</v>
      </c>
      <c r="C21" s="147" t="s">
        <v>2014</v>
      </c>
      <c r="D21" s="144" t="s">
        <v>2047</v>
      </c>
      <c r="E21" s="48">
        <v>9105</v>
      </c>
    </row>
    <row r="22" spans="1:5" ht="15.75" customHeight="1">
      <c r="A22" s="152" t="s">
        <v>1234</v>
      </c>
      <c r="B22" s="138" t="s">
        <v>2048</v>
      </c>
      <c r="C22" s="139" t="s">
        <v>472</v>
      </c>
      <c r="D22" s="160" t="s">
        <v>2049</v>
      </c>
      <c r="E22" s="140">
        <v>1500</v>
      </c>
    </row>
    <row r="23" spans="1:5" ht="15.75" customHeight="1">
      <c r="A23" s="152" t="s">
        <v>1236</v>
      </c>
      <c r="B23" s="146" t="s">
        <v>2050</v>
      </c>
      <c r="C23" s="147" t="s">
        <v>2051</v>
      </c>
      <c r="D23" s="155" t="s">
        <v>2052</v>
      </c>
      <c r="E23" s="140">
        <v>15821</v>
      </c>
    </row>
    <row r="24" spans="1:5" ht="15.75" customHeight="1">
      <c r="A24" s="152" t="s">
        <v>1240</v>
      </c>
      <c r="B24" s="135" t="s">
        <v>2053</v>
      </c>
      <c r="C24" s="100" t="s">
        <v>56</v>
      </c>
      <c r="D24" s="158" t="s">
        <v>2054</v>
      </c>
      <c r="E24" s="102">
        <v>16045</v>
      </c>
    </row>
    <row r="25" spans="1:5" ht="15.75" customHeight="1">
      <c r="A25" s="152" t="s">
        <v>1242</v>
      </c>
      <c r="B25" s="17" t="s">
        <v>2055</v>
      </c>
      <c r="C25" s="113" t="s">
        <v>2056</v>
      </c>
      <c r="D25" s="162" t="s">
        <v>2057</v>
      </c>
      <c r="E25" s="18">
        <v>18936</v>
      </c>
    </row>
    <row r="26" spans="1:5" ht="15.75" customHeight="1">
      <c r="A26" s="152" t="s">
        <v>1245</v>
      </c>
      <c r="B26" s="24" t="s">
        <v>2058</v>
      </c>
      <c r="C26" s="113" t="s">
        <v>2056</v>
      </c>
      <c r="D26" s="159" t="s">
        <v>2059</v>
      </c>
      <c r="E26" s="44">
        <v>8300</v>
      </c>
    </row>
    <row r="27" spans="1:5" ht="15.75" customHeight="1">
      <c r="A27" s="152" t="s">
        <v>1247</v>
      </c>
      <c r="B27" s="138" t="s">
        <v>2060</v>
      </c>
      <c r="C27" s="139" t="s">
        <v>45</v>
      </c>
      <c r="D27" s="160" t="s">
        <v>2061</v>
      </c>
      <c r="E27" s="140">
        <v>27996</v>
      </c>
    </row>
    <row r="28" spans="1:5" ht="15.75" customHeight="1">
      <c r="A28" s="152" t="s">
        <v>1249</v>
      </c>
      <c r="B28" s="149" t="s">
        <v>2062</v>
      </c>
      <c r="C28" s="100" t="s">
        <v>2033</v>
      </c>
      <c r="D28" s="156" t="s">
        <v>2063</v>
      </c>
      <c r="E28" s="134">
        <v>350000</v>
      </c>
    </row>
    <row r="29" spans="1:5" ht="15.75" customHeight="1">
      <c r="A29" s="152" t="s">
        <v>1252</v>
      </c>
      <c r="B29" s="146" t="s">
        <v>2064</v>
      </c>
      <c r="C29" s="147" t="s">
        <v>2033</v>
      </c>
      <c r="D29" s="155" t="s">
        <v>2065</v>
      </c>
      <c r="E29" s="140">
        <v>75280.7</v>
      </c>
    </row>
    <row r="30" spans="1:5" ht="15.75" customHeight="1">
      <c r="A30" s="152" t="s">
        <v>1255</v>
      </c>
      <c r="B30" s="163" t="s">
        <v>2066</v>
      </c>
      <c r="C30" s="147" t="s">
        <v>2033</v>
      </c>
      <c r="D30" s="155" t="s">
        <v>2067</v>
      </c>
      <c r="E30" s="164">
        <v>508500</v>
      </c>
    </row>
    <row r="31" spans="1:5" ht="15.75" customHeight="1">
      <c r="A31" s="152" t="s">
        <v>1257</v>
      </c>
      <c r="B31" s="109" t="s">
        <v>2068</v>
      </c>
      <c r="C31" s="42" t="s">
        <v>2069</v>
      </c>
      <c r="D31" s="165" t="s">
        <v>2070</v>
      </c>
      <c r="E31" s="44">
        <v>2848214.88</v>
      </c>
    </row>
    <row r="32" spans="1:5" ht="15.75" customHeight="1">
      <c r="A32" s="152" t="s">
        <v>1259</v>
      </c>
      <c r="B32" s="143" t="s">
        <v>2071</v>
      </c>
      <c r="C32" s="46" t="s">
        <v>378</v>
      </c>
      <c r="D32" s="166" t="s">
        <v>2072</v>
      </c>
      <c r="E32" s="48">
        <v>5038</v>
      </c>
    </row>
    <row r="33" spans="1:5" ht="15.75" customHeight="1">
      <c r="A33" s="152" t="s">
        <v>1263</v>
      </c>
      <c r="B33" s="143" t="s">
        <v>2073</v>
      </c>
      <c r="C33" s="167" t="s">
        <v>1943</v>
      </c>
      <c r="D33" s="166" t="s">
        <v>2074</v>
      </c>
      <c r="E33" s="48">
        <v>19658.04</v>
      </c>
    </row>
    <row r="34" spans="1:5" ht="15.75" customHeight="1">
      <c r="A34" s="152" t="s">
        <v>1267</v>
      </c>
      <c r="B34" s="143" t="s">
        <v>2075</v>
      </c>
      <c r="C34" s="167" t="s">
        <v>1943</v>
      </c>
      <c r="D34" s="166" t="s">
        <v>2076</v>
      </c>
      <c r="E34" s="48">
        <v>36037.07</v>
      </c>
    </row>
    <row r="35" spans="1:5" ht="15.75" customHeight="1">
      <c r="A35" s="152" t="s">
        <v>1270</v>
      </c>
      <c r="B35" s="143" t="s">
        <v>2077</v>
      </c>
      <c r="C35" s="167" t="s">
        <v>2078</v>
      </c>
      <c r="D35" s="166" t="s">
        <v>2079</v>
      </c>
      <c r="E35" s="48">
        <v>42051.37</v>
      </c>
    </row>
    <row r="36" spans="1:5" ht="15.75" customHeight="1">
      <c r="A36" s="152" t="s">
        <v>1273</v>
      </c>
      <c r="B36" s="143" t="s">
        <v>2080</v>
      </c>
      <c r="C36" s="144" t="s">
        <v>2019</v>
      </c>
      <c r="D36" s="153" t="s">
        <v>2081</v>
      </c>
      <c r="E36" s="48">
        <v>75280.7</v>
      </c>
    </row>
    <row r="37" spans="1:5" ht="15.75" customHeight="1">
      <c r="A37" s="152" t="s">
        <v>1275</v>
      </c>
      <c r="B37" s="143" t="s">
        <v>2082</v>
      </c>
      <c r="C37" s="144" t="s">
        <v>56</v>
      </c>
      <c r="D37" s="153" t="s">
        <v>2083</v>
      </c>
      <c r="E37" s="48">
        <v>45796</v>
      </c>
    </row>
    <row r="38" spans="1:5" ht="15.75" customHeight="1">
      <c r="A38" s="152" t="s">
        <v>1278</v>
      </c>
      <c r="B38" s="143" t="s">
        <v>2084</v>
      </c>
      <c r="C38" s="144" t="s">
        <v>1843</v>
      </c>
      <c r="D38" s="153" t="s">
        <v>2085</v>
      </c>
      <c r="E38" s="48">
        <v>2600</v>
      </c>
    </row>
    <row r="39" spans="1:5" ht="15.75" customHeight="1">
      <c r="A39" s="152" t="s">
        <v>1281</v>
      </c>
      <c r="B39" s="143" t="s">
        <v>2086</v>
      </c>
      <c r="C39" s="144" t="s">
        <v>472</v>
      </c>
      <c r="D39" s="153" t="s">
        <v>2087</v>
      </c>
      <c r="E39" s="48">
        <v>5760</v>
      </c>
    </row>
    <row r="40" spans="1:5" ht="15.75" customHeight="1">
      <c r="A40" s="152" t="s">
        <v>1284</v>
      </c>
      <c r="B40" s="143" t="s">
        <v>2088</v>
      </c>
      <c r="C40" s="144" t="s">
        <v>2089</v>
      </c>
      <c r="D40" s="153" t="s">
        <v>2090</v>
      </c>
      <c r="E40" s="48">
        <v>1374000</v>
      </c>
    </row>
    <row r="41" spans="1:5" ht="15.75" customHeight="1">
      <c r="A41" s="152" t="s">
        <v>1286</v>
      </c>
      <c r="B41" s="143" t="s">
        <v>2091</v>
      </c>
      <c r="C41" s="144" t="s">
        <v>378</v>
      </c>
      <c r="D41" s="153" t="s">
        <v>2092</v>
      </c>
      <c r="E41" s="48">
        <v>27176</v>
      </c>
    </row>
    <row r="42" spans="1:5" ht="15.75" customHeight="1">
      <c r="A42" s="152" t="s">
        <v>1288</v>
      </c>
      <c r="B42" s="143" t="s">
        <v>2093</v>
      </c>
      <c r="C42" s="147" t="s">
        <v>2033</v>
      </c>
      <c r="D42" s="153" t="s">
        <v>2094</v>
      </c>
      <c r="E42" s="164">
        <v>508500</v>
      </c>
    </row>
    <row r="43" spans="1:5" ht="15.75" customHeight="1">
      <c r="A43" s="152" t="s">
        <v>1290</v>
      </c>
      <c r="B43" s="143" t="s">
        <v>2095</v>
      </c>
      <c r="C43" s="147" t="s">
        <v>2056</v>
      </c>
      <c r="D43" s="153" t="s">
        <v>2096</v>
      </c>
      <c r="E43" s="164">
        <v>29380</v>
      </c>
    </row>
    <row r="44" spans="1:5" ht="15.75" customHeight="1">
      <c r="A44" s="152" t="s">
        <v>1293</v>
      </c>
      <c r="B44" s="143" t="s">
        <v>2097</v>
      </c>
      <c r="C44" s="147" t="s">
        <v>2098</v>
      </c>
      <c r="D44" s="153" t="s">
        <v>2099</v>
      </c>
      <c r="E44" s="164">
        <v>26963</v>
      </c>
    </row>
    <row r="45" spans="1:5" ht="15.75" customHeight="1">
      <c r="A45" s="152" t="s">
        <v>1295</v>
      </c>
      <c r="B45" s="163" t="s">
        <v>2100</v>
      </c>
      <c r="C45" s="167" t="s">
        <v>2101</v>
      </c>
      <c r="D45" s="155" t="s">
        <v>2102</v>
      </c>
      <c r="E45" s="164">
        <v>500000</v>
      </c>
    </row>
    <row r="46" spans="1:5" ht="15.75" customHeight="1">
      <c r="A46" s="152" t="s">
        <v>1297</v>
      </c>
      <c r="B46" s="135" t="s">
        <v>2103</v>
      </c>
      <c r="C46" s="100" t="s">
        <v>2104</v>
      </c>
      <c r="D46" s="158" t="s">
        <v>2105</v>
      </c>
      <c r="E46" s="102">
        <v>11900</v>
      </c>
    </row>
    <row r="47" spans="1:5" ht="15.75" customHeight="1">
      <c r="A47" s="152" t="s">
        <v>1301</v>
      </c>
      <c r="B47" s="163" t="s">
        <v>2106</v>
      </c>
      <c r="C47" s="113" t="s">
        <v>2107</v>
      </c>
      <c r="D47" s="155" t="s">
        <v>2108</v>
      </c>
      <c r="E47" s="168">
        <v>15000</v>
      </c>
    </row>
    <row r="48" spans="1:5" ht="15.75" customHeight="1">
      <c r="A48" s="152" t="s">
        <v>1303</v>
      </c>
      <c r="B48" s="163" t="s">
        <v>2109</v>
      </c>
      <c r="C48" s="113" t="s">
        <v>675</v>
      </c>
      <c r="D48" s="155" t="s">
        <v>2110</v>
      </c>
      <c r="E48" s="168">
        <v>60499</v>
      </c>
    </row>
    <row r="49" spans="1:5" ht="15.75" customHeight="1">
      <c r="A49" s="108" t="s">
        <v>24</v>
      </c>
      <c r="B49" s="203"/>
      <c r="C49" s="204"/>
      <c r="D49" s="205"/>
      <c r="E49" s="49">
        <f>SUM(E12:E48)</f>
        <v>7383355.5600000005</v>
      </c>
    </row>
    <row r="50" spans="1:5" ht="15.75" customHeight="1">
      <c r="A50" s="211"/>
      <c r="B50" s="196"/>
      <c r="C50" s="196"/>
      <c r="D50" s="196"/>
      <c r="E50" s="196"/>
    </row>
    <row r="51" spans="1:5" ht="15.75" customHeight="1">
      <c r="A51" s="211" t="s">
        <v>2111</v>
      </c>
      <c r="B51" s="196"/>
      <c r="C51" s="196"/>
      <c r="D51" s="196"/>
      <c r="E51" s="27">
        <f>IF(E49&gt;=10000000,5000000*2%+5000000*1%+(E49-10000000)*0.5%,IF(E49&gt;=5000000,5000000*2%+(E49-5000000)*1%,E49*2%))</f>
        <v>123833.55560000001</v>
      </c>
    </row>
    <row r="52" spans="1:5" ht="14.25" customHeight="1">
      <c r="A52" s="211" t="s">
        <v>25</v>
      </c>
      <c r="B52" s="196"/>
      <c r="C52" s="196"/>
      <c r="D52" s="196"/>
      <c r="E52" s="196"/>
    </row>
    <row r="53" spans="1:5" ht="35.25" customHeight="1">
      <c r="A53" s="211"/>
      <c r="B53" s="196"/>
      <c r="C53" s="196"/>
      <c r="D53" s="196"/>
      <c r="E53" s="196"/>
    </row>
    <row r="54" spans="1:5" ht="15.75" customHeight="1">
      <c r="A54" s="211" t="s">
        <v>26</v>
      </c>
      <c r="B54" s="196"/>
      <c r="C54" s="196"/>
      <c r="D54" s="196"/>
      <c r="E54" s="196"/>
    </row>
    <row r="55" spans="1:5" ht="15.75" customHeight="1">
      <c r="A55" s="211" t="s">
        <v>27</v>
      </c>
      <c r="B55" s="196"/>
      <c r="C55" s="196"/>
      <c r="D55" s="196"/>
      <c r="E55" s="196"/>
    </row>
    <row r="56" spans="1:5" ht="15.75" customHeight="1">
      <c r="A56" s="211" t="s">
        <v>28</v>
      </c>
      <c r="B56" s="196"/>
      <c r="C56" s="196"/>
      <c r="D56" s="196"/>
      <c r="E56" s="196"/>
    </row>
  </sheetData>
  <mergeCells count="18">
    <mergeCell ref="A56:E56"/>
    <mergeCell ref="A8:E8"/>
    <mergeCell ref="A9:E9"/>
    <mergeCell ref="A10:E10"/>
    <mergeCell ref="B49:D49"/>
    <mergeCell ref="A50:E50"/>
    <mergeCell ref="A51:D51"/>
    <mergeCell ref="A52:E52"/>
    <mergeCell ref="A6:E6"/>
    <mergeCell ref="A7:E7"/>
    <mergeCell ref="A53:E53"/>
    <mergeCell ref="A54:E54"/>
    <mergeCell ref="A55:E55"/>
    <mergeCell ref="A1:E1"/>
    <mergeCell ref="A2:E2"/>
    <mergeCell ref="A3:E3"/>
    <mergeCell ref="A4:E4"/>
    <mergeCell ref="A5:E5"/>
  </mergeCells>
  <conditionalFormatting sqref="E12:E48">
    <cfRule type="notContainsBlanks" dxfId="31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  <pageSetUpPr fitToPage="1"/>
  </sheetPr>
  <dimension ref="A1:E35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4.1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1540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2112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52" t="s">
        <v>1209</v>
      </c>
      <c r="B12" s="143" t="s">
        <v>2029</v>
      </c>
      <c r="C12" s="144" t="s">
        <v>2030</v>
      </c>
      <c r="D12" s="153" t="s">
        <v>2031</v>
      </c>
      <c r="E12" s="48">
        <v>13802</v>
      </c>
    </row>
    <row r="13" spans="1:5" ht="15.75" customHeight="1">
      <c r="A13" s="152" t="s">
        <v>1212</v>
      </c>
      <c r="B13" s="157" t="s">
        <v>2037</v>
      </c>
      <c r="C13" s="100" t="s">
        <v>1759</v>
      </c>
      <c r="D13" s="158" t="s">
        <v>2038</v>
      </c>
      <c r="E13" s="102">
        <v>16000</v>
      </c>
    </row>
    <row r="14" spans="1:5" ht="15.75" customHeight="1">
      <c r="A14" s="152" t="s">
        <v>1215</v>
      </c>
      <c r="B14" s="24" t="s">
        <v>2045</v>
      </c>
      <c r="C14" s="139" t="s">
        <v>56</v>
      </c>
      <c r="D14" s="161" t="s">
        <v>2034</v>
      </c>
      <c r="E14" s="14">
        <v>6690.3</v>
      </c>
    </row>
    <row r="15" spans="1:5" ht="15.75" customHeight="1">
      <c r="A15" s="152" t="s">
        <v>1217</v>
      </c>
      <c r="B15" s="138" t="s">
        <v>2048</v>
      </c>
      <c r="C15" s="139" t="s">
        <v>472</v>
      </c>
      <c r="D15" s="160" t="s">
        <v>2049</v>
      </c>
      <c r="E15" s="140">
        <v>1500</v>
      </c>
    </row>
    <row r="16" spans="1:5" ht="15.75" customHeight="1">
      <c r="A16" s="152" t="s">
        <v>1221</v>
      </c>
      <c r="B16" s="135" t="s">
        <v>2053</v>
      </c>
      <c r="C16" s="100" t="s">
        <v>56</v>
      </c>
      <c r="D16" s="158" t="s">
        <v>2054</v>
      </c>
      <c r="E16" s="102">
        <v>16045</v>
      </c>
    </row>
    <row r="17" spans="1:5" ht="15.75" customHeight="1">
      <c r="A17" s="152" t="s">
        <v>1224</v>
      </c>
      <c r="B17" s="146" t="s">
        <v>2064</v>
      </c>
      <c r="C17" s="147" t="s">
        <v>2033</v>
      </c>
      <c r="D17" s="155" t="s">
        <v>2065</v>
      </c>
      <c r="E17" s="140">
        <v>75280.7</v>
      </c>
    </row>
    <row r="18" spans="1:5" ht="15.75" customHeight="1">
      <c r="A18" s="152" t="s">
        <v>1226</v>
      </c>
      <c r="B18" s="163" t="s">
        <v>2066</v>
      </c>
      <c r="C18" s="147" t="s">
        <v>2033</v>
      </c>
      <c r="D18" s="155" t="s">
        <v>2067</v>
      </c>
      <c r="E18" s="164">
        <v>508500</v>
      </c>
    </row>
    <row r="19" spans="1:5" ht="15.75" customHeight="1">
      <c r="A19" s="152" t="s">
        <v>1228</v>
      </c>
      <c r="B19" s="109" t="s">
        <v>2068</v>
      </c>
      <c r="C19" s="42" t="s">
        <v>2069</v>
      </c>
      <c r="D19" s="165" t="s">
        <v>2070</v>
      </c>
      <c r="E19" s="44">
        <v>2848214.88</v>
      </c>
    </row>
    <row r="20" spans="1:5" ht="15.75" customHeight="1">
      <c r="A20" s="152" t="s">
        <v>1230</v>
      </c>
      <c r="B20" s="143" t="s">
        <v>2073</v>
      </c>
      <c r="C20" s="167" t="s">
        <v>1943</v>
      </c>
      <c r="D20" s="166" t="s">
        <v>2074</v>
      </c>
      <c r="E20" s="48">
        <v>19658.04</v>
      </c>
    </row>
    <row r="21" spans="1:5" ht="15.75" customHeight="1">
      <c r="A21" s="152" t="s">
        <v>1232</v>
      </c>
      <c r="B21" s="143" t="s">
        <v>2084</v>
      </c>
      <c r="C21" s="144" t="s">
        <v>1843</v>
      </c>
      <c r="D21" s="153" t="s">
        <v>2085</v>
      </c>
      <c r="E21" s="48">
        <v>2600</v>
      </c>
    </row>
    <row r="22" spans="1:5" ht="15.75" customHeight="1">
      <c r="A22" s="152" t="s">
        <v>1234</v>
      </c>
      <c r="B22" s="143" t="s">
        <v>2086</v>
      </c>
      <c r="C22" s="144" t="s">
        <v>472</v>
      </c>
      <c r="D22" s="153" t="s">
        <v>2087</v>
      </c>
      <c r="E22" s="48">
        <v>5760</v>
      </c>
    </row>
    <row r="23" spans="1:5" ht="15.75" customHeight="1">
      <c r="A23" s="152" t="s">
        <v>1236</v>
      </c>
      <c r="B23" s="143" t="s">
        <v>2088</v>
      </c>
      <c r="C23" s="144" t="s">
        <v>2089</v>
      </c>
      <c r="D23" s="153" t="s">
        <v>2090</v>
      </c>
      <c r="E23" s="48">
        <v>1374000</v>
      </c>
    </row>
    <row r="24" spans="1:5" ht="15.75" customHeight="1">
      <c r="A24" s="152" t="s">
        <v>1240</v>
      </c>
      <c r="B24" s="143" t="s">
        <v>2095</v>
      </c>
      <c r="C24" s="147" t="s">
        <v>2056</v>
      </c>
      <c r="D24" s="153" t="s">
        <v>2096</v>
      </c>
      <c r="E24" s="164">
        <v>29380</v>
      </c>
    </row>
    <row r="25" spans="1:5" ht="15.75" customHeight="1">
      <c r="A25" s="152" t="s">
        <v>1242</v>
      </c>
      <c r="B25" s="135" t="s">
        <v>2103</v>
      </c>
      <c r="C25" s="100" t="s">
        <v>2104</v>
      </c>
      <c r="D25" s="158" t="s">
        <v>2105</v>
      </c>
      <c r="E25" s="102">
        <v>11900</v>
      </c>
    </row>
    <row r="26" spans="1:5" ht="15.75" customHeight="1">
      <c r="A26" s="152" t="s">
        <v>1245</v>
      </c>
      <c r="B26" s="163" t="s">
        <v>2106</v>
      </c>
      <c r="C26" s="113" t="s">
        <v>2107</v>
      </c>
      <c r="D26" s="155" t="s">
        <v>2108</v>
      </c>
      <c r="E26" s="168">
        <v>15000</v>
      </c>
    </row>
    <row r="27" spans="1:5" ht="15.75" customHeight="1">
      <c r="A27" s="152" t="s">
        <v>1247</v>
      </c>
      <c r="B27" s="163" t="s">
        <v>2113</v>
      </c>
      <c r="C27" s="113" t="s">
        <v>2114</v>
      </c>
      <c r="D27" s="155" t="s">
        <v>2115</v>
      </c>
      <c r="E27" s="168">
        <v>2712692.7</v>
      </c>
    </row>
    <row r="28" spans="1:5" ht="15.75" customHeight="1">
      <c r="A28" s="108" t="s">
        <v>24</v>
      </c>
      <c r="B28" s="203"/>
      <c r="C28" s="204"/>
      <c r="D28" s="205"/>
      <c r="E28" s="49">
        <f>SUM(E12:E27)</f>
        <v>7657023.6200000001</v>
      </c>
    </row>
    <row r="29" spans="1:5" ht="15.75" customHeight="1">
      <c r="A29" s="211"/>
      <c r="B29" s="196"/>
      <c r="C29" s="196"/>
      <c r="D29" s="196"/>
      <c r="E29" s="196"/>
    </row>
    <row r="30" spans="1:5" ht="15.75" customHeight="1">
      <c r="A30" s="211" t="s">
        <v>2116</v>
      </c>
      <c r="B30" s="196"/>
      <c r="C30" s="196"/>
      <c r="D30" s="196"/>
      <c r="E30" s="27">
        <f>E28*8%</f>
        <v>612561.88959999999</v>
      </c>
    </row>
    <row r="31" spans="1:5" ht="14.25" customHeight="1">
      <c r="A31" s="211" t="s">
        <v>25</v>
      </c>
      <c r="B31" s="196"/>
      <c r="C31" s="196"/>
      <c r="D31" s="196"/>
      <c r="E31" s="196"/>
    </row>
    <row r="32" spans="1:5" ht="35.25" customHeight="1">
      <c r="A32" s="211"/>
      <c r="B32" s="196"/>
      <c r="C32" s="196"/>
      <c r="D32" s="196"/>
      <c r="E32" s="196"/>
    </row>
    <row r="33" spans="1:5" ht="15.75" customHeight="1">
      <c r="A33" s="211" t="s">
        <v>26</v>
      </c>
      <c r="B33" s="196"/>
      <c r="C33" s="196"/>
      <c r="D33" s="196"/>
      <c r="E33" s="196"/>
    </row>
    <row r="34" spans="1:5" ht="15.75" customHeight="1">
      <c r="A34" s="211" t="s">
        <v>27</v>
      </c>
      <c r="B34" s="196"/>
      <c r="C34" s="196"/>
      <c r="D34" s="196"/>
      <c r="E34" s="196"/>
    </row>
    <row r="35" spans="1:5" ht="15.75" customHeight="1">
      <c r="A35" s="211" t="s">
        <v>28</v>
      </c>
      <c r="B35" s="196"/>
      <c r="C35" s="196"/>
      <c r="D35" s="196"/>
      <c r="E35" s="196"/>
    </row>
  </sheetData>
  <mergeCells count="18">
    <mergeCell ref="A35:E35"/>
    <mergeCell ref="A8:E8"/>
    <mergeCell ref="A9:E9"/>
    <mergeCell ref="A10:E10"/>
    <mergeCell ref="B28:D28"/>
    <mergeCell ref="A29:E29"/>
    <mergeCell ref="A30:D30"/>
    <mergeCell ref="A31:E31"/>
    <mergeCell ref="A6:E6"/>
    <mergeCell ref="A7:E7"/>
    <mergeCell ref="A32:E32"/>
    <mergeCell ref="A33:E33"/>
    <mergeCell ref="A34:E34"/>
    <mergeCell ref="A1:E1"/>
    <mergeCell ref="A2:E2"/>
    <mergeCell ref="A3:E3"/>
    <mergeCell ref="A4:E4"/>
    <mergeCell ref="A5:E5"/>
  </mergeCells>
  <conditionalFormatting sqref="E12:E27">
    <cfRule type="notContainsBlanks" dxfId="30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  <pageSetUpPr fitToPage="1"/>
  </sheetPr>
  <dimension ref="A1:E53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4.1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2117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69" t="s">
        <v>1209</v>
      </c>
      <c r="B12" s="109" t="s">
        <v>2118</v>
      </c>
      <c r="C12" s="42" t="s">
        <v>2119</v>
      </c>
      <c r="D12" s="159" t="s">
        <v>2120</v>
      </c>
      <c r="E12" s="44">
        <v>43000</v>
      </c>
    </row>
    <row r="13" spans="1:5" ht="15.75" customHeight="1">
      <c r="A13" s="169" t="s">
        <v>1212</v>
      </c>
      <c r="B13" s="17" t="s">
        <v>2121</v>
      </c>
      <c r="C13" s="113" t="s">
        <v>2122</v>
      </c>
      <c r="D13" s="162" t="s">
        <v>2123</v>
      </c>
      <c r="E13" s="18">
        <v>46800</v>
      </c>
    </row>
    <row r="14" spans="1:5" ht="15.75" customHeight="1">
      <c r="A14" s="169" t="s">
        <v>1215</v>
      </c>
      <c r="B14" s="143" t="s">
        <v>2124</v>
      </c>
      <c r="C14" s="144" t="s">
        <v>2125</v>
      </c>
      <c r="D14" s="144" t="s">
        <v>2126</v>
      </c>
      <c r="E14" s="48">
        <v>370000</v>
      </c>
    </row>
    <row r="15" spans="1:5" ht="15.75" customHeight="1">
      <c r="A15" s="169" t="s">
        <v>1217</v>
      </c>
      <c r="B15" s="112" t="s">
        <v>2050</v>
      </c>
      <c r="C15" s="113" t="s">
        <v>2051</v>
      </c>
      <c r="D15" s="170" t="s">
        <v>2127</v>
      </c>
      <c r="E15" s="14">
        <v>15268</v>
      </c>
    </row>
    <row r="16" spans="1:5" ht="15.75" customHeight="1">
      <c r="A16" s="169" t="s">
        <v>1221</v>
      </c>
      <c r="B16" s="154" t="s">
        <v>2128</v>
      </c>
      <c r="C16" s="148" t="s">
        <v>81</v>
      </c>
      <c r="D16" s="155" t="s">
        <v>2129</v>
      </c>
      <c r="E16" s="140">
        <v>41750</v>
      </c>
    </row>
    <row r="17" spans="1:5" ht="15.75" customHeight="1">
      <c r="A17" s="169" t="s">
        <v>1224</v>
      </c>
      <c r="B17" s="149" t="s">
        <v>397</v>
      </c>
      <c r="C17" s="100" t="s">
        <v>1945</v>
      </c>
      <c r="D17" s="156" t="s">
        <v>2130</v>
      </c>
      <c r="E17" s="134">
        <v>8670</v>
      </c>
    </row>
    <row r="18" spans="1:5" ht="15.75" customHeight="1">
      <c r="A18" s="169" t="s">
        <v>1226</v>
      </c>
      <c r="B18" s="157" t="s">
        <v>2131</v>
      </c>
      <c r="C18" s="100" t="s">
        <v>51</v>
      </c>
      <c r="D18" s="158" t="s">
        <v>2132</v>
      </c>
      <c r="E18" s="102">
        <v>4126.1099999999997</v>
      </c>
    </row>
    <row r="19" spans="1:5" ht="15.75" customHeight="1">
      <c r="A19" s="169" t="s">
        <v>1228</v>
      </c>
      <c r="B19" s="24" t="s">
        <v>2133</v>
      </c>
      <c r="C19" s="113" t="s">
        <v>2014</v>
      </c>
      <c r="D19" s="159" t="s">
        <v>2134</v>
      </c>
      <c r="E19" s="44">
        <v>32499</v>
      </c>
    </row>
    <row r="20" spans="1:5" ht="15.75" customHeight="1">
      <c r="A20" s="169" t="s">
        <v>1230</v>
      </c>
      <c r="B20" s="143" t="s">
        <v>1304</v>
      </c>
      <c r="C20" s="144" t="s">
        <v>1843</v>
      </c>
      <c r="D20" s="145">
        <v>861</v>
      </c>
      <c r="E20" s="48">
        <v>20000</v>
      </c>
    </row>
    <row r="21" spans="1:5" ht="15.75" customHeight="1">
      <c r="A21" s="169" t="s">
        <v>1232</v>
      </c>
      <c r="B21" s="157" t="s">
        <v>2135</v>
      </c>
      <c r="C21" s="100" t="s">
        <v>2125</v>
      </c>
      <c r="D21" s="136" t="s">
        <v>2136</v>
      </c>
      <c r="E21" s="102">
        <v>74000</v>
      </c>
    </row>
    <row r="22" spans="1:5" ht="15.75" customHeight="1">
      <c r="A22" s="169" t="s">
        <v>1234</v>
      </c>
      <c r="B22" s="135" t="s">
        <v>2137</v>
      </c>
      <c r="C22" s="113" t="s">
        <v>2138</v>
      </c>
      <c r="D22" s="171" t="s">
        <v>2139</v>
      </c>
      <c r="E22" s="102">
        <v>282000</v>
      </c>
    </row>
    <row r="23" spans="1:5" ht="15.75" customHeight="1">
      <c r="A23" s="169" t="s">
        <v>1236</v>
      </c>
      <c r="B23" s="112" t="s">
        <v>1863</v>
      </c>
      <c r="C23" s="113" t="s">
        <v>1864</v>
      </c>
      <c r="D23" s="170" t="s">
        <v>2140</v>
      </c>
      <c r="E23" s="14">
        <v>301128</v>
      </c>
    </row>
    <row r="24" spans="1:5" ht="15.75" customHeight="1">
      <c r="A24" s="169" t="s">
        <v>1240</v>
      </c>
      <c r="B24" s="143" t="s">
        <v>2141</v>
      </c>
      <c r="C24" s="147" t="s">
        <v>56</v>
      </c>
      <c r="D24" s="153" t="s">
        <v>2142</v>
      </c>
      <c r="E24" s="164">
        <v>128819</v>
      </c>
    </row>
    <row r="25" spans="1:5" ht="15.75" customHeight="1">
      <c r="A25" s="169" t="s">
        <v>1242</v>
      </c>
      <c r="B25" s="146" t="s">
        <v>2143</v>
      </c>
      <c r="C25" s="147" t="s">
        <v>2144</v>
      </c>
      <c r="D25" s="155" t="s">
        <v>2145</v>
      </c>
      <c r="E25" s="140">
        <v>12544</v>
      </c>
    </row>
    <row r="26" spans="1:5" ht="15.75" customHeight="1">
      <c r="A26" s="169" t="s">
        <v>1245</v>
      </c>
      <c r="B26" s="163" t="s">
        <v>2146</v>
      </c>
      <c r="C26" s="113" t="s">
        <v>2147</v>
      </c>
      <c r="D26" s="155" t="s">
        <v>2148</v>
      </c>
      <c r="E26" s="168">
        <v>23213</v>
      </c>
    </row>
    <row r="27" spans="1:5" ht="15.75" customHeight="1">
      <c r="A27" s="169" t="s">
        <v>1247</v>
      </c>
      <c r="B27" s="163" t="s">
        <v>2149</v>
      </c>
      <c r="C27" s="113" t="s">
        <v>629</v>
      </c>
      <c r="D27" s="155" t="s">
        <v>2150</v>
      </c>
      <c r="E27" s="168">
        <v>31000</v>
      </c>
    </row>
    <row r="28" spans="1:5" ht="15.75" customHeight="1">
      <c r="A28" s="169" t="s">
        <v>1249</v>
      </c>
      <c r="B28" s="163" t="s">
        <v>2151</v>
      </c>
      <c r="C28" s="113" t="s">
        <v>2147</v>
      </c>
      <c r="D28" s="155" t="s">
        <v>2152</v>
      </c>
      <c r="E28" s="168">
        <v>6650</v>
      </c>
    </row>
    <row r="29" spans="1:5" ht="15.75" customHeight="1">
      <c r="A29" s="169" t="s">
        <v>1252</v>
      </c>
      <c r="B29" s="17" t="s">
        <v>2153</v>
      </c>
      <c r="C29" s="42" t="s">
        <v>2033</v>
      </c>
      <c r="D29" s="162" t="s">
        <v>2154</v>
      </c>
      <c r="E29" s="18">
        <v>35000</v>
      </c>
    </row>
    <row r="30" spans="1:5" ht="15.75" customHeight="1">
      <c r="A30" s="169" t="s">
        <v>1255</v>
      </c>
      <c r="B30" s="17" t="s">
        <v>2155</v>
      </c>
      <c r="C30" s="113" t="s">
        <v>1728</v>
      </c>
      <c r="D30" s="162" t="s">
        <v>2156</v>
      </c>
      <c r="E30" s="18">
        <v>1550</v>
      </c>
    </row>
    <row r="31" spans="1:5" ht="15.75" customHeight="1">
      <c r="A31" s="169" t="s">
        <v>1257</v>
      </c>
      <c r="B31" s="163" t="s">
        <v>2157</v>
      </c>
      <c r="C31" s="113" t="s">
        <v>2147</v>
      </c>
      <c r="D31" s="155" t="s">
        <v>2158</v>
      </c>
      <c r="E31" s="168">
        <v>41215</v>
      </c>
    </row>
    <row r="32" spans="1:5" ht="15.75" customHeight="1">
      <c r="A32" s="169" t="s">
        <v>1259</v>
      </c>
      <c r="B32" s="149" t="s">
        <v>2159</v>
      </c>
      <c r="C32" s="100" t="s">
        <v>2160</v>
      </c>
      <c r="D32" s="156" t="s">
        <v>2161</v>
      </c>
      <c r="E32" s="134">
        <v>41000</v>
      </c>
    </row>
    <row r="33" spans="1:5" ht="15.75" customHeight="1">
      <c r="A33" s="169" t="s">
        <v>1263</v>
      </c>
      <c r="B33" s="143" t="s">
        <v>2162</v>
      </c>
      <c r="C33" s="167" t="s">
        <v>209</v>
      </c>
      <c r="D33" s="166" t="s">
        <v>2163</v>
      </c>
      <c r="E33" s="48">
        <v>209550</v>
      </c>
    </row>
    <row r="34" spans="1:5" ht="15.75" customHeight="1">
      <c r="A34" s="169" t="s">
        <v>1267</v>
      </c>
      <c r="B34" s="143" t="s">
        <v>2164</v>
      </c>
      <c r="C34" s="144" t="s">
        <v>2165</v>
      </c>
      <c r="D34" s="153" t="s">
        <v>2166</v>
      </c>
      <c r="E34" s="48">
        <v>70880</v>
      </c>
    </row>
    <row r="35" spans="1:5" ht="15.75" customHeight="1">
      <c r="A35" s="169" t="s">
        <v>1270</v>
      </c>
      <c r="B35" s="143" t="s">
        <v>2167</v>
      </c>
      <c r="C35" s="113" t="s">
        <v>2147</v>
      </c>
      <c r="D35" s="153" t="s">
        <v>2168</v>
      </c>
      <c r="E35" s="48">
        <v>14600</v>
      </c>
    </row>
    <row r="36" spans="1:5" ht="15.75" customHeight="1">
      <c r="A36" s="169" t="s">
        <v>1273</v>
      </c>
      <c r="B36" s="143" t="s">
        <v>2169</v>
      </c>
      <c r="C36" s="167" t="s">
        <v>1203</v>
      </c>
      <c r="D36" s="153" t="s">
        <v>2170</v>
      </c>
      <c r="E36" s="48">
        <v>35900</v>
      </c>
    </row>
    <row r="37" spans="1:5" ht="15.75" customHeight="1">
      <c r="A37" s="169" t="s">
        <v>1275</v>
      </c>
      <c r="B37" s="163" t="s">
        <v>2171</v>
      </c>
      <c r="C37" s="167" t="s">
        <v>1130</v>
      </c>
      <c r="D37" s="155" t="s">
        <v>2172</v>
      </c>
      <c r="E37" s="164">
        <v>149000</v>
      </c>
    </row>
    <row r="38" spans="1:5" ht="15.75" customHeight="1">
      <c r="A38" s="169" t="s">
        <v>1278</v>
      </c>
      <c r="B38" s="146" t="s">
        <v>2143</v>
      </c>
      <c r="C38" s="147" t="s">
        <v>2144</v>
      </c>
      <c r="D38" s="155" t="s">
        <v>2145</v>
      </c>
      <c r="E38" s="140">
        <v>12544</v>
      </c>
    </row>
    <row r="39" spans="1:5" ht="15.75" customHeight="1">
      <c r="A39" s="169" t="s">
        <v>1281</v>
      </c>
      <c r="B39" s="143" t="s">
        <v>2173</v>
      </c>
      <c r="C39" s="147" t="s">
        <v>629</v>
      </c>
      <c r="D39" s="153" t="s">
        <v>2174</v>
      </c>
      <c r="E39" s="164">
        <v>75400</v>
      </c>
    </row>
    <row r="40" spans="1:5" ht="15.75" customHeight="1">
      <c r="A40" s="169" t="s">
        <v>1284</v>
      </c>
      <c r="B40" s="17" t="s">
        <v>2175</v>
      </c>
      <c r="C40" s="78" t="s">
        <v>2176</v>
      </c>
      <c r="D40" s="162" t="s">
        <v>2177</v>
      </c>
      <c r="E40" s="18">
        <v>78658</v>
      </c>
    </row>
    <row r="41" spans="1:5" ht="15.75" customHeight="1">
      <c r="A41" s="169" t="s">
        <v>1286</v>
      </c>
      <c r="B41" s="143" t="s">
        <v>2178</v>
      </c>
      <c r="C41" s="147" t="s">
        <v>2144</v>
      </c>
      <c r="D41" s="153" t="s">
        <v>2179</v>
      </c>
      <c r="E41" s="164">
        <v>41215</v>
      </c>
    </row>
    <row r="42" spans="1:5" ht="15.75" customHeight="1">
      <c r="A42" s="169" t="s">
        <v>1288</v>
      </c>
      <c r="B42" s="163" t="s">
        <v>2180</v>
      </c>
      <c r="C42" s="13" t="s">
        <v>378</v>
      </c>
      <c r="D42" s="172" t="s">
        <v>2181</v>
      </c>
      <c r="E42" s="164">
        <v>15612</v>
      </c>
    </row>
    <row r="43" spans="1:5" ht="15.75" customHeight="1">
      <c r="A43" s="169" t="s">
        <v>1290</v>
      </c>
      <c r="B43" s="173" t="s">
        <v>2182</v>
      </c>
      <c r="C43" s="174" t="s">
        <v>828</v>
      </c>
      <c r="D43" s="175" t="s">
        <v>2183</v>
      </c>
      <c r="E43" s="168">
        <v>38000</v>
      </c>
    </row>
    <row r="44" spans="1:5" ht="15.75" customHeight="1">
      <c r="A44" s="169" t="s">
        <v>1293</v>
      </c>
      <c r="B44" s="173" t="s">
        <v>2184</v>
      </c>
      <c r="C44" s="174" t="s">
        <v>2185</v>
      </c>
      <c r="D44" s="175" t="s">
        <v>2186</v>
      </c>
      <c r="E44" s="168">
        <v>496101</v>
      </c>
    </row>
    <row r="45" spans="1:5" ht="15.75" customHeight="1">
      <c r="A45" s="169" t="s">
        <v>1295</v>
      </c>
      <c r="B45" s="149" t="s">
        <v>2187</v>
      </c>
      <c r="C45" s="13" t="s">
        <v>1899</v>
      </c>
      <c r="D45" s="172" t="s">
        <v>2188</v>
      </c>
      <c r="E45" s="102">
        <v>332000</v>
      </c>
    </row>
    <row r="46" spans="1:5" ht="15.75" customHeight="1">
      <c r="A46" s="108" t="s">
        <v>24</v>
      </c>
      <c r="B46" s="203"/>
      <c r="C46" s="204"/>
      <c r="D46" s="205"/>
      <c r="E46" s="49">
        <f>SUM(E12:E45)</f>
        <v>3129692.11</v>
      </c>
    </row>
    <row r="47" spans="1:5" ht="15.75" customHeight="1">
      <c r="A47" s="211"/>
      <c r="B47" s="196"/>
      <c r="C47" s="196"/>
      <c r="D47" s="196"/>
      <c r="E47" s="196"/>
    </row>
    <row r="48" spans="1:5" ht="15.75" customHeight="1">
      <c r="A48" s="211" t="s">
        <v>2189</v>
      </c>
      <c r="B48" s="196"/>
      <c r="C48" s="196"/>
      <c r="D48" s="196"/>
      <c r="E48" s="27">
        <f>IF(E46&gt;=10000000,5000000*2%+5000000*1%+(E46-10000000)*0.5%,IF(E46&gt;=5000000,5000000*2%+(E46-5000000)*1%,E46*2%))</f>
        <v>62593.842199999999</v>
      </c>
    </row>
    <row r="49" spans="1:5" ht="14.25" customHeight="1">
      <c r="A49" s="211" t="s">
        <v>25</v>
      </c>
      <c r="B49" s="196"/>
      <c r="C49" s="196"/>
      <c r="D49" s="196"/>
      <c r="E49" s="196"/>
    </row>
    <row r="50" spans="1:5" ht="35.25" customHeight="1">
      <c r="A50" s="211"/>
      <c r="B50" s="196"/>
      <c r="C50" s="196"/>
      <c r="D50" s="196"/>
      <c r="E50" s="196"/>
    </row>
    <row r="51" spans="1:5" ht="15.75" customHeight="1">
      <c r="A51" s="211" t="s">
        <v>26</v>
      </c>
      <c r="B51" s="196"/>
      <c r="C51" s="196"/>
      <c r="D51" s="196"/>
      <c r="E51" s="196"/>
    </row>
    <row r="52" spans="1:5" ht="15.75" customHeight="1">
      <c r="A52" s="211" t="s">
        <v>27</v>
      </c>
      <c r="B52" s="196"/>
      <c r="C52" s="196"/>
      <c r="D52" s="196"/>
      <c r="E52" s="196"/>
    </row>
    <row r="53" spans="1:5" ht="15.75" customHeight="1">
      <c r="A53" s="211" t="s">
        <v>28</v>
      </c>
      <c r="B53" s="196"/>
      <c r="C53" s="196"/>
      <c r="D53" s="196"/>
      <c r="E53" s="196"/>
    </row>
  </sheetData>
  <mergeCells count="18">
    <mergeCell ref="A53:E53"/>
    <mergeCell ref="A8:E8"/>
    <mergeCell ref="A9:E9"/>
    <mergeCell ref="A10:E10"/>
    <mergeCell ref="B46:D46"/>
    <mergeCell ref="A47:E47"/>
    <mergeCell ref="A48:D48"/>
    <mergeCell ref="A49:E49"/>
    <mergeCell ref="A6:E6"/>
    <mergeCell ref="A7:E7"/>
    <mergeCell ref="A50:E50"/>
    <mergeCell ref="A51:E51"/>
    <mergeCell ref="A52:E52"/>
    <mergeCell ref="A1:E1"/>
    <mergeCell ref="A2:E2"/>
    <mergeCell ref="A3:E3"/>
    <mergeCell ref="A4:E4"/>
    <mergeCell ref="A5:E5"/>
  </mergeCells>
  <conditionalFormatting sqref="E12:E45">
    <cfRule type="notContainsBlanks" dxfId="29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  <pageSetUpPr fitToPage="1"/>
  </sheetPr>
  <dimension ref="A1:E44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4.1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1540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2190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69" t="s">
        <v>1209</v>
      </c>
      <c r="B12" s="109" t="s">
        <v>2118</v>
      </c>
      <c r="C12" s="42" t="s">
        <v>2119</v>
      </c>
      <c r="D12" s="159" t="s">
        <v>2120</v>
      </c>
      <c r="E12" s="44">
        <v>43000</v>
      </c>
    </row>
    <row r="13" spans="1:5" ht="15.75" customHeight="1">
      <c r="A13" s="169" t="s">
        <v>1212</v>
      </c>
      <c r="B13" s="17" t="s">
        <v>2121</v>
      </c>
      <c r="C13" s="113" t="s">
        <v>2122</v>
      </c>
      <c r="D13" s="162" t="s">
        <v>2123</v>
      </c>
      <c r="E13" s="18">
        <v>46800</v>
      </c>
    </row>
    <row r="14" spans="1:5" ht="15.75" customHeight="1">
      <c r="A14" s="169" t="s">
        <v>1215</v>
      </c>
      <c r="B14" s="143" t="s">
        <v>2124</v>
      </c>
      <c r="C14" s="144" t="s">
        <v>2125</v>
      </c>
      <c r="D14" s="144" t="s">
        <v>2126</v>
      </c>
      <c r="E14" s="48">
        <v>370000</v>
      </c>
    </row>
    <row r="15" spans="1:5" ht="15.75" customHeight="1">
      <c r="A15" s="169" t="s">
        <v>1217</v>
      </c>
      <c r="B15" s="112" t="s">
        <v>2050</v>
      </c>
      <c r="C15" s="113" t="s">
        <v>2051</v>
      </c>
      <c r="D15" s="170" t="s">
        <v>2127</v>
      </c>
      <c r="E15" s="14">
        <v>15268</v>
      </c>
    </row>
    <row r="16" spans="1:5" ht="15.75" customHeight="1">
      <c r="A16" s="169" t="s">
        <v>1221</v>
      </c>
      <c r="B16" s="154" t="s">
        <v>2128</v>
      </c>
      <c r="C16" s="148" t="s">
        <v>81</v>
      </c>
      <c r="D16" s="155" t="s">
        <v>2129</v>
      </c>
      <c r="E16" s="140">
        <v>41750</v>
      </c>
    </row>
    <row r="17" spans="1:5" ht="15.75" customHeight="1">
      <c r="A17" s="169" t="s">
        <v>1228</v>
      </c>
      <c r="B17" s="24" t="s">
        <v>2133</v>
      </c>
      <c r="C17" s="113" t="s">
        <v>2014</v>
      </c>
      <c r="D17" s="159" t="s">
        <v>2134</v>
      </c>
      <c r="E17" s="44">
        <v>32462.6</v>
      </c>
    </row>
    <row r="18" spans="1:5" ht="15.75" customHeight="1">
      <c r="A18" s="169" t="s">
        <v>1230</v>
      </c>
      <c r="B18" s="143" t="s">
        <v>1304</v>
      </c>
      <c r="C18" s="144" t="s">
        <v>1843</v>
      </c>
      <c r="D18" s="145">
        <v>861</v>
      </c>
      <c r="E18" s="48">
        <v>20000</v>
      </c>
    </row>
    <row r="19" spans="1:5" ht="15.75" customHeight="1">
      <c r="A19" s="169" t="s">
        <v>1232</v>
      </c>
      <c r="B19" s="157" t="s">
        <v>2135</v>
      </c>
      <c r="C19" s="100" t="s">
        <v>2125</v>
      </c>
      <c r="D19" s="136" t="s">
        <v>2136</v>
      </c>
      <c r="E19" s="102">
        <v>74000</v>
      </c>
    </row>
    <row r="20" spans="1:5" ht="15.75" customHeight="1">
      <c r="A20" s="169" t="s">
        <v>1234</v>
      </c>
      <c r="B20" s="135" t="s">
        <v>2137</v>
      </c>
      <c r="C20" s="113" t="s">
        <v>2138</v>
      </c>
      <c r="D20" s="171" t="s">
        <v>2139</v>
      </c>
      <c r="E20" s="102">
        <v>282000</v>
      </c>
    </row>
    <row r="21" spans="1:5" ht="15.75" customHeight="1">
      <c r="A21" s="169" t="s">
        <v>1236</v>
      </c>
      <c r="B21" s="112" t="s">
        <v>1863</v>
      </c>
      <c r="C21" s="113" t="s">
        <v>1864</v>
      </c>
      <c r="D21" s="170" t="s">
        <v>2140</v>
      </c>
      <c r="E21" s="14">
        <v>301128</v>
      </c>
    </row>
    <row r="22" spans="1:5" ht="15.75" customHeight="1">
      <c r="A22" s="169" t="s">
        <v>1245</v>
      </c>
      <c r="B22" s="163" t="s">
        <v>2146</v>
      </c>
      <c r="C22" s="113" t="s">
        <v>2147</v>
      </c>
      <c r="D22" s="155" t="s">
        <v>2148</v>
      </c>
      <c r="E22" s="168">
        <v>23213</v>
      </c>
    </row>
    <row r="23" spans="1:5" ht="15.75" customHeight="1">
      <c r="A23" s="169" t="s">
        <v>1247</v>
      </c>
      <c r="B23" s="163" t="s">
        <v>2149</v>
      </c>
      <c r="C23" s="113" t="s">
        <v>629</v>
      </c>
      <c r="D23" s="155" t="s">
        <v>2150</v>
      </c>
      <c r="E23" s="168">
        <v>31000</v>
      </c>
    </row>
    <row r="24" spans="1:5" ht="15.75" customHeight="1">
      <c r="A24" s="169" t="s">
        <v>1249</v>
      </c>
      <c r="B24" s="163" t="s">
        <v>2151</v>
      </c>
      <c r="C24" s="113" t="s">
        <v>2147</v>
      </c>
      <c r="D24" s="155" t="s">
        <v>2152</v>
      </c>
      <c r="E24" s="168">
        <v>6650</v>
      </c>
    </row>
    <row r="25" spans="1:5" ht="15.75" customHeight="1">
      <c r="A25" s="169" t="s">
        <v>1252</v>
      </c>
      <c r="B25" s="17" t="s">
        <v>2153</v>
      </c>
      <c r="C25" s="42" t="s">
        <v>2033</v>
      </c>
      <c r="D25" s="162" t="s">
        <v>2154</v>
      </c>
      <c r="E25" s="18">
        <v>35000</v>
      </c>
    </row>
    <row r="26" spans="1:5" ht="15.75" customHeight="1">
      <c r="A26" s="169" t="s">
        <v>1257</v>
      </c>
      <c r="B26" s="163" t="s">
        <v>2157</v>
      </c>
      <c r="C26" s="113" t="s">
        <v>2147</v>
      </c>
      <c r="D26" s="155" t="s">
        <v>2158</v>
      </c>
      <c r="E26" s="168">
        <v>41215</v>
      </c>
    </row>
    <row r="27" spans="1:5" ht="15.75" customHeight="1">
      <c r="A27" s="169" t="s">
        <v>1259</v>
      </c>
      <c r="B27" s="149" t="s">
        <v>2159</v>
      </c>
      <c r="C27" s="100" t="s">
        <v>2160</v>
      </c>
      <c r="D27" s="156" t="s">
        <v>2161</v>
      </c>
      <c r="E27" s="134">
        <v>41000</v>
      </c>
    </row>
    <row r="28" spans="1:5" ht="15.75" customHeight="1">
      <c r="A28" s="169" t="s">
        <v>1267</v>
      </c>
      <c r="B28" s="143" t="s">
        <v>2164</v>
      </c>
      <c r="C28" s="144" t="s">
        <v>2165</v>
      </c>
      <c r="D28" s="153" t="s">
        <v>2166</v>
      </c>
      <c r="E28" s="48">
        <v>70880</v>
      </c>
    </row>
    <row r="29" spans="1:5" ht="15.75" customHeight="1">
      <c r="A29" s="169" t="s">
        <v>1270</v>
      </c>
      <c r="B29" s="143" t="s">
        <v>2167</v>
      </c>
      <c r="C29" s="113" t="s">
        <v>2147</v>
      </c>
      <c r="D29" s="153" t="s">
        <v>2168</v>
      </c>
      <c r="E29" s="48">
        <v>14600</v>
      </c>
    </row>
    <row r="30" spans="1:5" ht="15.75" customHeight="1">
      <c r="A30" s="169" t="s">
        <v>1273</v>
      </c>
      <c r="B30" s="143" t="s">
        <v>2169</v>
      </c>
      <c r="C30" s="167" t="s">
        <v>1203</v>
      </c>
      <c r="D30" s="153" t="s">
        <v>2170</v>
      </c>
      <c r="E30" s="48">
        <v>35900</v>
      </c>
    </row>
    <row r="31" spans="1:5" ht="15.75" customHeight="1">
      <c r="A31" s="169" t="s">
        <v>1278</v>
      </c>
      <c r="B31" s="146" t="s">
        <v>2143</v>
      </c>
      <c r="C31" s="147" t="s">
        <v>2144</v>
      </c>
      <c r="D31" s="155" t="s">
        <v>2145</v>
      </c>
      <c r="E31" s="140">
        <v>12544</v>
      </c>
    </row>
    <row r="32" spans="1:5" ht="15.75" customHeight="1">
      <c r="A32" s="169" t="s">
        <v>1281</v>
      </c>
      <c r="B32" s="143" t="s">
        <v>2173</v>
      </c>
      <c r="C32" s="147" t="s">
        <v>629</v>
      </c>
      <c r="D32" s="153" t="s">
        <v>2174</v>
      </c>
      <c r="E32" s="164">
        <v>75400</v>
      </c>
    </row>
    <row r="33" spans="1:5" ht="15.75" customHeight="1">
      <c r="A33" s="169" t="s">
        <v>1284</v>
      </c>
      <c r="B33" s="17" t="s">
        <v>2175</v>
      </c>
      <c r="C33" s="78" t="s">
        <v>2176</v>
      </c>
      <c r="D33" s="162" t="s">
        <v>2177</v>
      </c>
      <c r="E33" s="18">
        <v>78658</v>
      </c>
    </row>
    <row r="34" spans="1:5" ht="15.75" customHeight="1">
      <c r="A34" s="169" t="s">
        <v>1286</v>
      </c>
      <c r="B34" s="143" t="s">
        <v>2178</v>
      </c>
      <c r="C34" s="147" t="s">
        <v>2144</v>
      </c>
      <c r="D34" s="153" t="s">
        <v>2179</v>
      </c>
      <c r="E34" s="164">
        <v>41215</v>
      </c>
    </row>
    <row r="35" spans="1:5" ht="15.75" customHeight="1">
      <c r="A35" s="169" t="s">
        <v>1288</v>
      </c>
      <c r="B35" s="163" t="s">
        <v>2180</v>
      </c>
      <c r="C35" s="13" t="s">
        <v>378</v>
      </c>
      <c r="D35" s="172" t="s">
        <v>2181</v>
      </c>
      <c r="E35" s="164">
        <v>15612</v>
      </c>
    </row>
    <row r="36" spans="1:5" ht="15.75" customHeight="1">
      <c r="A36" s="169" t="s">
        <v>1290</v>
      </c>
      <c r="B36" s="173" t="s">
        <v>2182</v>
      </c>
      <c r="C36" s="174" t="s">
        <v>828</v>
      </c>
      <c r="D36" s="175" t="s">
        <v>2183</v>
      </c>
      <c r="E36" s="168">
        <v>38000</v>
      </c>
    </row>
    <row r="37" spans="1:5" ht="15.75" customHeight="1">
      <c r="A37" s="108" t="s">
        <v>24</v>
      </c>
      <c r="B37" s="203"/>
      <c r="C37" s="204"/>
      <c r="D37" s="205"/>
      <c r="E37" s="49">
        <f>SUM(E12:E36)</f>
        <v>1787295.6</v>
      </c>
    </row>
    <row r="38" spans="1:5" ht="15.75" customHeight="1">
      <c r="A38" s="211"/>
      <c r="B38" s="196"/>
      <c r="C38" s="196"/>
      <c r="D38" s="196"/>
      <c r="E38" s="196"/>
    </row>
    <row r="39" spans="1:5" ht="15.75" customHeight="1">
      <c r="A39" s="211" t="s">
        <v>2191</v>
      </c>
      <c r="B39" s="196"/>
      <c r="C39" s="196"/>
      <c r="D39" s="196"/>
      <c r="E39" s="27">
        <f>E37*8%</f>
        <v>142983.64800000002</v>
      </c>
    </row>
    <row r="40" spans="1:5" ht="14.25" customHeight="1">
      <c r="A40" s="211" t="s">
        <v>25</v>
      </c>
      <c r="B40" s="196"/>
      <c r="C40" s="196"/>
      <c r="D40" s="196"/>
      <c r="E40" s="196"/>
    </row>
    <row r="41" spans="1:5" ht="35.25" customHeight="1">
      <c r="A41" s="211"/>
      <c r="B41" s="196"/>
      <c r="C41" s="196"/>
      <c r="D41" s="196"/>
      <c r="E41" s="196"/>
    </row>
    <row r="42" spans="1:5" ht="15.75" customHeight="1">
      <c r="A42" s="211" t="s">
        <v>26</v>
      </c>
      <c r="B42" s="196"/>
      <c r="C42" s="196"/>
      <c r="D42" s="196"/>
      <c r="E42" s="196"/>
    </row>
    <row r="43" spans="1:5" ht="15.75" customHeight="1">
      <c r="A43" s="211" t="s">
        <v>27</v>
      </c>
      <c r="B43" s="196"/>
      <c r="C43" s="196"/>
      <c r="D43" s="196"/>
      <c r="E43" s="196"/>
    </row>
    <row r="44" spans="1:5" ht="15.75" customHeight="1">
      <c r="A44" s="211" t="s">
        <v>28</v>
      </c>
      <c r="B44" s="196"/>
      <c r="C44" s="196"/>
      <c r="D44" s="196"/>
      <c r="E44" s="196"/>
    </row>
  </sheetData>
  <mergeCells count="18">
    <mergeCell ref="A44:E44"/>
    <mergeCell ref="A8:E8"/>
    <mergeCell ref="A9:E9"/>
    <mergeCell ref="A10:E10"/>
    <mergeCell ref="B37:D37"/>
    <mergeCell ref="A38:E38"/>
    <mergeCell ref="A39:D39"/>
    <mergeCell ref="A40:E40"/>
    <mergeCell ref="A6:E6"/>
    <mergeCell ref="A7:E7"/>
    <mergeCell ref="A41:E41"/>
    <mergeCell ref="A42:E42"/>
    <mergeCell ref="A43:E43"/>
    <mergeCell ref="A1:E1"/>
    <mergeCell ref="A2:E2"/>
    <mergeCell ref="A3:E3"/>
    <mergeCell ref="A4:E4"/>
    <mergeCell ref="A5:E5"/>
  </mergeCells>
  <conditionalFormatting sqref="E12:E36">
    <cfRule type="notContainsBlanks" dxfId="28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  <pageSetUpPr fitToPage="1"/>
  </sheetPr>
  <dimension ref="A1:E41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4.1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2192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06" t="s">
        <v>1209</v>
      </c>
      <c r="B12" s="135" t="s">
        <v>2193</v>
      </c>
      <c r="C12" s="100" t="s">
        <v>1203</v>
      </c>
      <c r="D12" s="158" t="s">
        <v>2194</v>
      </c>
      <c r="E12" s="102">
        <v>71500</v>
      </c>
    </row>
    <row r="13" spans="1:5" ht="15.75" customHeight="1">
      <c r="A13" s="106" t="s">
        <v>1212</v>
      </c>
      <c r="B13" s="17" t="s">
        <v>2195</v>
      </c>
      <c r="C13" s="113" t="s">
        <v>56</v>
      </c>
      <c r="D13" s="162" t="s">
        <v>2154</v>
      </c>
      <c r="E13" s="18">
        <v>175450</v>
      </c>
    </row>
    <row r="14" spans="1:5" ht="15.75" customHeight="1">
      <c r="A14" s="106" t="s">
        <v>1215</v>
      </c>
      <c r="B14" s="24" t="s">
        <v>2196</v>
      </c>
      <c r="C14" s="78" t="s">
        <v>45</v>
      </c>
      <c r="D14" s="161" t="s">
        <v>2197</v>
      </c>
      <c r="E14" s="14">
        <v>47450</v>
      </c>
    </row>
    <row r="15" spans="1:5" ht="15.75" customHeight="1">
      <c r="A15" s="106" t="s">
        <v>1217</v>
      </c>
      <c r="B15" s="143" t="s">
        <v>2198</v>
      </c>
      <c r="C15" s="144" t="s">
        <v>2199</v>
      </c>
      <c r="D15" s="153" t="s">
        <v>2200</v>
      </c>
      <c r="E15" s="48">
        <v>9570</v>
      </c>
    </row>
    <row r="16" spans="1:5" ht="15.75" customHeight="1">
      <c r="A16" s="106" t="s">
        <v>1221</v>
      </c>
      <c r="B16" s="163" t="s">
        <v>2201</v>
      </c>
      <c r="C16" s="167" t="s">
        <v>1943</v>
      </c>
      <c r="D16" s="155" t="s">
        <v>2202</v>
      </c>
      <c r="E16" s="164">
        <v>8021.27</v>
      </c>
    </row>
    <row r="17" spans="1:5" ht="15.75" customHeight="1">
      <c r="A17" s="106" t="s">
        <v>1224</v>
      </c>
      <c r="B17" s="176" t="s">
        <v>2203</v>
      </c>
      <c r="C17" s="174" t="s">
        <v>56</v>
      </c>
      <c r="D17" s="153" t="s">
        <v>2204</v>
      </c>
      <c r="E17" s="44">
        <v>28690</v>
      </c>
    </row>
    <row r="18" spans="1:5" ht="15.75" customHeight="1">
      <c r="A18" s="106" t="s">
        <v>1226</v>
      </c>
      <c r="B18" s="143" t="s">
        <v>2205</v>
      </c>
      <c r="C18" s="167" t="s">
        <v>1203</v>
      </c>
      <c r="D18" s="166" t="s">
        <v>2206</v>
      </c>
      <c r="E18" s="48">
        <v>137154</v>
      </c>
    </row>
    <row r="19" spans="1:5" ht="15.75" customHeight="1">
      <c r="A19" s="106" t="s">
        <v>1228</v>
      </c>
      <c r="B19" s="143" t="s">
        <v>2207</v>
      </c>
      <c r="C19" s="167" t="s">
        <v>1203</v>
      </c>
      <c r="D19" s="166" t="s">
        <v>2170</v>
      </c>
      <c r="E19" s="48">
        <v>35900</v>
      </c>
    </row>
    <row r="20" spans="1:5" ht="15.75" customHeight="1">
      <c r="A20" s="106" t="s">
        <v>1230</v>
      </c>
      <c r="B20" s="163" t="s">
        <v>2208</v>
      </c>
      <c r="C20" s="113" t="s">
        <v>2185</v>
      </c>
      <c r="D20" s="155" t="s">
        <v>2209</v>
      </c>
      <c r="E20" s="168">
        <v>83235</v>
      </c>
    </row>
    <row r="21" spans="1:5" ht="15.75" customHeight="1">
      <c r="A21" s="106" t="s">
        <v>1232</v>
      </c>
      <c r="B21" s="149" t="s">
        <v>2210</v>
      </c>
      <c r="C21" s="113" t="s">
        <v>1728</v>
      </c>
      <c r="D21" s="155" t="s">
        <v>2211</v>
      </c>
      <c r="E21" s="168">
        <v>21312</v>
      </c>
    </row>
    <row r="22" spans="1:5" ht="15.75" customHeight="1">
      <c r="A22" s="106" t="s">
        <v>1234</v>
      </c>
      <c r="B22" s="17" t="s">
        <v>2212</v>
      </c>
      <c r="C22" s="42" t="s">
        <v>944</v>
      </c>
      <c r="D22" s="162" t="s">
        <v>2213</v>
      </c>
      <c r="E22" s="18">
        <v>43830</v>
      </c>
    </row>
    <row r="23" spans="1:5" ht="15.75" customHeight="1">
      <c r="A23" s="106" t="s">
        <v>1236</v>
      </c>
      <c r="B23" s="163" t="s">
        <v>2214</v>
      </c>
      <c r="C23" s="167" t="s">
        <v>1728</v>
      </c>
      <c r="D23" s="155" t="s">
        <v>2215</v>
      </c>
      <c r="E23" s="164">
        <v>11466</v>
      </c>
    </row>
    <row r="24" spans="1:5" ht="15.75" customHeight="1">
      <c r="A24" s="106" t="s">
        <v>1240</v>
      </c>
      <c r="B24" s="163" t="s">
        <v>2216</v>
      </c>
      <c r="C24" s="113" t="s">
        <v>472</v>
      </c>
      <c r="D24" s="155" t="s">
        <v>2217</v>
      </c>
      <c r="E24" s="168">
        <v>21480</v>
      </c>
    </row>
    <row r="25" spans="1:5" ht="15.75" customHeight="1">
      <c r="A25" s="106" t="s">
        <v>1242</v>
      </c>
      <c r="B25" s="146" t="s">
        <v>2218</v>
      </c>
      <c r="C25" s="113" t="s">
        <v>56</v>
      </c>
      <c r="D25" s="155" t="s">
        <v>2219</v>
      </c>
      <c r="E25" s="140">
        <v>102750</v>
      </c>
    </row>
    <row r="26" spans="1:5" ht="15.75" customHeight="1">
      <c r="A26" s="106" t="s">
        <v>1245</v>
      </c>
      <c r="B26" s="143" t="s">
        <v>2220</v>
      </c>
      <c r="C26" s="167" t="s">
        <v>15</v>
      </c>
      <c r="D26" s="166" t="s">
        <v>2221</v>
      </c>
      <c r="E26" s="48">
        <v>34497.11</v>
      </c>
    </row>
    <row r="27" spans="1:5" ht="15.75" customHeight="1">
      <c r="A27" s="106" t="s">
        <v>1247</v>
      </c>
      <c r="B27" s="143" t="s">
        <v>2222</v>
      </c>
      <c r="C27" s="167" t="s">
        <v>2223</v>
      </c>
      <c r="D27" s="166" t="s">
        <v>2224</v>
      </c>
      <c r="E27" s="48">
        <v>44560</v>
      </c>
    </row>
    <row r="28" spans="1:5" ht="15.75" customHeight="1">
      <c r="A28" s="106" t="s">
        <v>1249</v>
      </c>
      <c r="B28" s="143" t="s">
        <v>2225</v>
      </c>
      <c r="C28" s="167" t="s">
        <v>2226</v>
      </c>
      <c r="D28" s="166" t="s">
        <v>2227</v>
      </c>
      <c r="E28" s="48">
        <v>22750</v>
      </c>
    </row>
    <row r="29" spans="1:5" ht="15.75" customHeight="1">
      <c r="A29" s="106" t="s">
        <v>1252</v>
      </c>
      <c r="B29" s="143" t="s">
        <v>2228</v>
      </c>
      <c r="C29" s="167" t="s">
        <v>1728</v>
      </c>
      <c r="D29" s="166" t="s">
        <v>2229</v>
      </c>
      <c r="E29" s="48">
        <v>29461</v>
      </c>
    </row>
    <row r="30" spans="1:5" ht="15.75" customHeight="1">
      <c r="A30" s="106" t="s">
        <v>1255</v>
      </c>
      <c r="B30" s="143" t="s">
        <v>2230</v>
      </c>
      <c r="C30" s="167" t="s">
        <v>378</v>
      </c>
      <c r="D30" s="166" t="s">
        <v>2231</v>
      </c>
      <c r="E30" s="48">
        <v>9783</v>
      </c>
    </row>
    <row r="31" spans="1:5" ht="15.75" customHeight="1">
      <c r="A31" s="106" t="s">
        <v>1257</v>
      </c>
      <c r="B31" s="143" t="s">
        <v>2232</v>
      </c>
      <c r="C31" s="167" t="s">
        <v>2138</v>
      </c>
      <c r="D31" s="166" t="s">
        <v>2233</v>
      </c>
      <c r="E31" s="48">
        <v>18750</v>
      </c>
    </row>
    <row r="32" spans="1:5" ht="15.75" customHeight="1">
      <c r="A32" s="106" t="s">
        <v>1259</v>
      </c>
      <c r="B32" s="143" t="s">
        <v>2234</v>
      </c>
      <c r="C32" s="167" t="s">
        <v>2235</v>
      </c>
      <c r="D32" s="166" t="s">
        <v>2236</v>
      </c>
      <c r="E32" s="48">
        <v>6000</v>
      </c>
    </row>
    <row r="33" spans="1:5" ht="15.75" customHeight="1">
      <c r="A33" s="106" t="s">
        <v>1263</v>
      </c>
      <c r="B33" s="146" t="s">
        <v>2237</v>
      </c>
      <c r="C33" s="113" t="s">
        <v>2238</v>
      </c>
      <c r="D33" s="155" t="s">
        <v>2239</v>
      </c>
      <c r="E33" s="140">
        <v>31850</v>
      </c>
    </row>
    <row r="34" spans="1:5" ht="15.75" customHeight="1">
      <c r="A34" s="108" t="s">
        <v>24</v>
      </c>
      <c r="B34" s="203"/>
      <c r="C34" s="204"/>
      <c r="D34" s="205"/>
      <c r="E34" s="49">
        <f>SUM(E12:E33)</f>
        <v>995459.38</v>
      </c>
    </row>
    <row r="35" spans="1:5" ht="15.75" customHeight="1">
      <c r="A35" s="211"/>
      <c r="B35" s="196"/>
      <c r="C35" s="196"/>
      <c r="D35" s="196"/>
      <c r="E35" s="196"/>
    </row>
    <row r="36" spans="1:5" ht="15.75" customHeight="1">
      <c r="A36" s="211" t="s">
        <v>2240</v>
      </c>
      <c r="B36" s="196"/>
      <c r="C36" s="196"/>
      <c r="D36" s="196"/>
      <c r="E36" s="27">
        <f>IF(E34&gt;=10000000,5000000*2%+5000000*1%+(E34-10000000)*0.5%,IF(E34&gt;=5000000,5000000*2%+(E34-5000000)*1%,E34*2%))</f>
        <v>19909.187600000001</v>
      </c>
    </row>
    <row r="37" spans="1:5" ht="14.25" customHeight="1">
      <c r="A37" s="211" t="s">
        <v>25</v>
      </c>
      <c r="B37" s="196"/>
      <c r="C37" s="196"/>
      <c r="D37" s="196"/>
      <c r="E37" s="196"/>
    </row>
    <row r="38" spans="1:5" ht="35.25" customHeight="1">
      <c r="A38" s="211"/>
      <c r="B38" s="196"/>
      <c r="C38" s="196"/>
      <c r="D38" s="196"/>
      <c r="E38" s="196"/>
    </row>
    <row r="39" spans="1:5" ht="15.75" customHeight="1">
      <c r="A39" s="211" t="s">
        <v>26</v>
      </c>
      <c r="B39" s="196"/>
      <c r="C39" s="196"/>
      <c r="D39" s="196"/>
      <c r="E39" s="196"/>
    </row>
    <row r="40" spans="1:5" ht="15.75" customHeight="1">
      <c r="A40" s="211" t="s">
        <v>27</v>
      </c>
      <c r="B40" s="196"/>
      <c r="C40" s="196"/>
      <c r="D40" s="196"/>
      <c r="E40" s="196"/>
    </row>
    <row r="41" spans="1:5" ht="15.75" customHeight="1">
      <c r="A41" s="211" t="s">
        <v>28</v>
      </c>
      <c r="B41" s="196"/>
      <c r="C41" s="196"/>
      <c r="D41" s="196"/>
      <c r="E41" s="196"/>
    </row>
  </sheetData>
  <mergeCells count="18">
    <mergeCell ref="A41:E41"/>
    <mergeCell ref="A8:E8"/>
    <mergeCell ref="A9:E9"/>
    <mergeCell ref="A10:E10"/>
    <mergeCell ref="B34:D34"/>
    <mergeCell ref="A35:E35"/>
    <mergeCell ref="A36:D36"/>
    <mergeCell ref="A37:E37"/>
    <mergeCell ref="A6:E6"/>
    <mergeCell ref="A7:E7"/>
    <mergeCell ref="A38:E38"/>
    <mergeCell ref="A39:E39"/>
    <mergeCell ref="A40:E40"/>
    <mergeCell ref="A1:E1"/>
    <mergeCell ref="A2:E2"/>
    <mergeCell ref="A3:E3"/>
    <mergeCell ref="A4:E4"/>
    <mergeCell ref="A5:E5"/>
  </mergeCells>
  <conditionalFormatting sqref="E12:E33">
    <cfRule type="notContainsBlanks" dxfId="27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  <pageSetUpPr fitToPage="1"/>
  </sheetPr>
  <dimension ref="A1:E35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4.1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2241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06" t="s">
        <v>1209</v>
      </c>
      <c r="B12" s="17" t="s">
        <v>2195</v>
      </c>
      <c r="C12" s="113" t="s">
        <v>56</v>
      </c>
      <c r="D12" s="162" t="s">
        <v>2154</v>
      </c>
      <c r="E12" s="18">
        <v>175450</v>
      </c>
    </row>
    <row r="13" spans="1:5" ht="15.75" customHeight="1">
      <c r="A13" s="106" t="s">
        <v>1212</v>
      </c>
      <c r="B13" s="24" t="s">
        <v>2196</v>
      </c>
      <c r="C13" s="78" t="s">
        <v>45</v>
      </c>
      <c r="D13" s="161" t="s">
        <v>2197</v>
      </c>
      <c r="E13" s="14">
        <v>47450</v>
      </c>
    </row>
    <row r="14" spans="1:5" ht="15.75" customHeight="1">
      <c r="A14" s="106" t="s">
        <v>1215</v>
      </c>
      <c r="B14" s="143" t="s">
        <v>2198</v>
      </c>
      <c r="C14" s="144" t="s">
        <v>2199</v>
      </c>
      <c r="D14" s="153" t="s">
        <v>2200</v>
      </c>
      <c r="E14" s="48">
        <v>9570</v>
      </c>
    </row>
    <row r="15" spans="1:5" ht="15.75" customHeight="1">
      <c r="A15" s="106" t="s">
        <v>1217</v>
      </c>
      <c r="B15" s="176" t="s">
        <v>2203</v>
      </c>
      <c r="C15" s="174" t="s">
        <v>56</v>
      </c>
      <c r="D15" s="153" t="s">
        <v>2204</v>
      </c>
      <c r="E15" s="44">
        <v>28690</v>
      </c>
    </row>
    <row r="16" spans="1:5" ht="15.75" customHeight="1">
      <c r="A16" s="106" t="s">
        <v>1221</v>
      </c>
      <c r="B16" s="143" t="s">
        <v>2205</v>
      </c>
      <c r="C16" s="167" t="s">
        <v>1203</v>
      </c>
      <c r="D16" s="166" t="s">
        <v>2206</v>
      </c>
      <c r="E16" s="48">
        <v>137154</v>
      </c>
    </row>
    <row r="17" spans="1:5" ht="15.75" customHeight="1">
      <c r="A17" s="106" t="s">
        <v>1224</v>
      </c>
      <c r="B17" s="143" t="s">
        <v>2207</v>
      </c>
      <c r="C17" s="167" t="s">
        <v>1203</v>
      </c>
      <c r="D17" s="166" t="s">
        <v>2170</v>
      </c>
      <c r="E17" s="48">
        <v>35023.9</v>
      </c>
    </row>
    <row r="18" spans="1:5" ht="15.75" customHeight="1">
      <c r="A18" s="106" t="s">
        <v>1226</v>
      </c>
      <c r="B18" s="163" t="s">
        <v>2208</v>
      </c>
      <c r="C18" s="113" t="s">
        <v>2185</v>
      </c>
      <c r="D18" s="155" t="s">
        <v>2209</v>
      </c>
      <c r="E18" s="168">
        <v>83235</v>
      </c>
    </row>
    <row r="19" spans="1:5" ht="15.75" customHeight="1">
      <c r="A19" s="106" t="s">
        <v>1228</v>
      </c>
      <c r="B19" s="149" t="s">
        <v>2210</v>
      </c>
      <c r="C19" s="113" t="s">
        <v>1728</v>
      </c>
      <c r="D19" s="155" t="s">
        <v>2211</v>
      </c>
      <c r="E19" s="168">
        <v>21312</v>
      </c>
    </row>
    <row r="20" spans="1:5" ht="15.75" customHeight="1">
      <c r="A20" s="106" t="s">
        <v>1230</v>
      </c>
      <c r="B20" s="17" t="s">
        <v>2212</v>
      </c>
      <c r="C20" s="42" t="s">
        <v>944</v>
      </c>
      <c r="D20" s="162" t="s">
        <v>2213</v>
      </c>
      <c r="E20" s="18">
        <v>43830</v>
      </c>
    </row>
    <row r="21" spans="1:5" ht="15.75" customHeight="1">
      <c r="A21" s="106" t="s">
        <v>1232</v>
      </c>
      <c r="B21" s="163" t="s">
        <v>2216</v>
      </c>
      <c r="C21" s="113" t="s">
        <v>472</v>
      </c>
      <c r="D21" s="155" t="s">
        <v>2217</v>
      </c>
      <c r="E21" s="168">
        <v>21480</v>
      </c>
    </row>
    <row r="22" spans="1:5" ht="15.75" customHeight="1">
      <c r="A22" s="106" t="s">
        <v>1234</v>
      </c>
      <c r="B22" s="143" t="s">
        <v>2220</v>
      </c>
      <c r="C22" s="167" t="s">
        <v>15</v>
      </c>
      <c r="D22" s="166" t="s">
        <v>2221</v>
      </c>
      <c r="E22" s="48">
        <v>34497.11</v>
      </c>
    </row>
    <row r="23" spans="1:5" ht="15.75" customHeight="1">
      <c r="A23" s="106" t="s">
        <v>1236</v>
      </c>
      <c r="B23" s="143" t="s">
        <v>2222</v>
      </c>
      <c r="C23" s="167" t="s">
        <v>2223</v>
      </c>
      <c r="D23" s="166" t="s">
        <v>2224</v>
      </c>
      <c r="E23" s="48">
        <v>44560</v>
      </c>
    </row>
    <row r="24" spans="1:5" ht="15.75" customHeight="1">
      <c r="A24" s="106" t="s">
        <v>1240</v>
      </c>
      <c r="B24" s="143" t="s">
        <v>2225</v>
      </c>
      <c r="C24" s="167" t="s">
        <v>2226</v>
      </c>
      <c r="D24" s="166" t="s">
        <v>2227</v>
      </c>
      <c r="E24" s="48">
        <v>22750</v>
      </c>
    </row>
    <row r="25" spans="1:5" ht="15.75" customHeight="1">
      <c r="A25" s="106" t="s">
        <v>1242</v>
      </c>
      <c r="B25" s="143" t="s">
        <v>2228</v>
      </c>
      <c r="C25" s="167" t="s">
        <v>1728</v>
      </c>
      <c r="D25" s="166" t="s">
        <v>2229</v>
      </c>
      <c r="E25" s="48">
        <v>29461</v>
      </c>
    </row>
    <row r="26" spans="1:5" ht="15.75" customHeight="1">
      <c r="A26" s="106" t="s">
        <v>1245</v>
      </c>
      <c r="B26" s="143" t="s">
        <v>2232</v>
      </c>
      <c r="C26" s="167" t="s">
        <v>2138</v>
      </c>
      <c r="D26" s="166" t="s">
        <v>2233</v>
      </c>
      <c r="E26" s="48">
        <v>18750</v>
      </c>
    </row>
    <row r="27" spans="1:5" ht="15.75" customHeight="1">
      <c r="A27" s="106" t="s">
        <v>1247</v>
      </c>
      <c r="B27" s="146" t="s">
        <v>2237</v>
      </c>
      <c r="C27" s="113" t="s">
        <v>2238</v>
      </c>
      <c r="D27" s="155" t="s">
        <v>2239</v>
      </c>
      <c r="E27" s="140">
        <v>31850</v>
      </c>
    </row>
    <row r="28" spans="1:5" ht="15.75" customHeight="1">
      <c r="A28" s="108" t="s">
        <v>24</v>
      </c>
      <c r="B28" s="203"/>
      <c r="C28" s="204"/>
      <c r="D28" s="205"/>
      <c r="E28" s="49">
        <f>SUM(E12:E27)</f>
        <v>785063.01</v>
      </c>
    </row>
    <row r="29" spans="1:5" ht="15.75" customHeight="1">
      <c r="A29" s="211"/>
      <c r="B29" s="196"/>
      <c r="C29" s="196"/>
      <c r="D29" s="196"/>
      <c r="E29" s="196"/>
    </row>
    <row r="30" spans="1:5" ht="15.75" customHeight="1">
      <c r="A30" s="211" t="s">
        <v>2242</v>
      </c>
      <c r="B30" s="196"/>
      <c r="C30" s="196"/>
      <c r="D30" s="196"/>
      <c r="E30" s="27">
        <f>E28*8%</f>
        <v>62805.040800000002</v>
      </c>
    </row>
    <row r="31" spans="1:5" ht="14.25" customHeight="1">
      <c r="A31" s="211" t="s">
        <v>25</v>
      </c>
      <c r="B31" s="196"/>
      <c r="C31" s="196"/>
      <c r="D31" s="196"/>
      <c r="E31" s="196"/>
    </row>
    <row r="32" spans="1:5" ht="35.25" customHeight="1">
      <c r="A32" s="211"/>
      <c r="B32" s="196"/>
      <c r="C32" s="196"/>
      <c r="D32" s="196"/>
      <c r="E32" s="196"/>
    </row>
    <row r="33" spans="1:5" ht="15.75" customHeight="1">
      <c r="A33" s="211" t="s">
        <v>26</v>
      </c>
      <c r="B33" s="196"/>
      <c r="C33" s="196"/>
      <c r="D33" s="196"/>
      <c r="E33" s="196"/>
    </row>
    <row r="34" spans="1:5" ht="15.75" customHeight="1">
      <c r="A34" s="211" t="s">
        <v>27</v>
      </c>
      <c r="B34" s="196"/>
      <c r="C34" s="196"/>
      <c r="D34" s="196"/>
      <c r="E34" s="196"/>
    </row>
    <row r="35" spans="1:5" ht="15.75" customHeight="1">
      <c r="A35" s="211" t="s">
        <v>28</v>
      </c>
      <c r="B35" s="196"/>
      <c r="C35" s="196"/>
      <c r="D35" s="196"/>
      <c r="E35" s="196"/>
    </row>
  </sheetData>
  <mergeCells count="18">
    <mergeCell ref="A35:E35"/>
    <mergeCell ref="A8:E8"/>
    <mergeCell ref="A9:E9"/>
    <mergeCell ref="A10:E10"/>
    <mergeCell ref="B28:D28"/>
    <mergeCell ref="A29:E29"/>
    <mergeCell ref="A30:D30"/>
    <mergeCell ref="A31:E31"/>
    <mergeCell ref="A6:E6"/>
    <mergeCell ref="A7:E7"/>
    <mergeCell ref="A32:E32"/>
    <mergeCell ref="A33:E33"/>
    <mergeCell ref="A34:E34"/>
    <mergeCell ref="A1:E1"/>
    <mergeCell ref="A2:E2"/>
    <mergeCell ref="A3:E3"/>
    <mergeCell ref="A4:E4"/>
    <mergeCell ref="A5:E5"/>
  </mergeCells>
  <conditionalFormatting sqref="E12:E27">
    <cfRule type="notContainsBlanks" dxfId="26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  <pageSetUpPr fitToPage="1"/>
  </sheetPr>
  <dimension ref="A1:E37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4.1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2243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77" t="s">
        <v>1209</v>
      </c>
      <c r="B12" s="24" t="s">
        <v>2244</v>
      </c>
      <c r="C12" s="78" t="s">
        <v>2138</v>
      </c>
      <c r="D12" s="161" t="s">
        <v>2245</v>
      </c>
      <c r="E12" s="14">
        <v>926400</v>
      </c>
    </row>
    <row r="13" spans="1:5" ht="15.75" customHeight="1">
      <c r="A13" s="177" t="s">
        <v>1212</v>
      </c>
      <c r="B13" s="135" t="s">
        <v>2246</v>
      </c>
      <c r="C13" s="111" t="s">
        <v>56</v>
      </c>
      <c r="D13" s="171" t="s">
        <v>2247</v>
      </c>
      <c r="E13" s="134">
        <v>28690</v>
      </c>
    </row>
    <row r="14" spans="1:5" ht="15.75" customHeight="1">
      <c r="A14" s="177" t="s">
        <v>1215</v>
      </c>
      <c r="B14" s="135" t="s">
        <v>2248</v>
      </c>
      <c r="C14" s="111" t="s">
        <v>56</v>
      </c>
      <c r="D14" s="171" t="s">
        <v>2249</v>
      </c>
      <c r="E14" s="134">
        <v>13048</v>
      </c>
    </row>
    <row r="15" spans="1:5" ht="15.75" customHeight="1">
      <c r="A15" s="177" t="s">
        <v>1217</v>
      </c>
      <c r="B15" s="24" t="s">
        <v>2250</v>
      </c>
      <c r="C15" s="100" t="s">
        <v>56</v>
      </c>
      <c r="D15" s="162" t="s">
        <v>2044</v>
      </c>
      <c r="E15" s="14">
        <v>10880</v>
      </c>
    </row>
    <row r="16" spans="1:5" ht="15.75" customHeight="1">
      <c r="A16" s="177" t="s">
        <v>1221</v>
      </c>
      <c r="B16" s="12" t="s">
        <v>2251</v>
      </c>
      <c r="C16" s="13" t="s">
        <v>1728</v>
      </c>
      <c r="D16" s="171" t="s">
        <v>2252</v>
      </c>
      <c r="E16" s="134">
        <v>10066</v>
      </c>
    </row>
    <row r="17" spans="1:5" ht="15.75" customHeight="1">
      <c r="A17" s="177" t="s">
        <v>1224</v>
      </c>
      <c r="B17" s="12" t="s">
        <v>2253</v>
      </c>
      <c r="C17" s="13" t="s">
        <v>1728</v>
      </c>
      <c r="D17" s="171" t="s">
        <v>2254</v>
      </c>
      <c r="E17" s="134">
        <v>27276</v>
      </c>
    </row>
    <row r="18" spans="1:5" ht="15.75" customHeight="1">
      <c r="A18" s="177" t="s">
        <v>1226</v>
      </c>
      <c r="B18" s="12" t="s">
        <v>2255</v>
      </c>
      <c r="C18" s="13" t="s">
        <v>1728</v>
      </c>
      <c r="D18" s="171" t="s">
        <v>2256</v>
      </c>
      <c r="E18" s="134">
        <v>24664</v>
      </c>
    </row>
    <row r="19" spans="1:5" ht="15.75" customHeight="1">
      <c r="A19" s="177" t="s">
        <v>1228</v>
      </c>
      <c r="B19" s="12" t="s">
        <v>2257</v>
      </c>
      <c r="C19" s="13" t="s">
        <v>51</v>
      </c>
      <c r="D19" s="171" t="s">
        <v>2258</v>
      </c>
      <c r="E19" s="134">
        <v>5210</v>
      </c>
    </row>
    <row r="20" spans="1:5" ht="15.75" customHeight="1">
      <c r="A20" s="177" t="s">
        <v>1230</v>
      </c>
      <c r="B20" s="12" t="s">
        <v>2259</v>
      </c>
      <c r="C20" s="13" t="s">
        <v>2260</v>
      </c>
      <c r="D20" s="171" t="s">
        <v>2261</v>
      </c>
      <c r="E20" s="134">
        <v>12580</v>
      </c>
    </row>
    <row r="21" spans="1:5" ht="15.75" customHeight="1">
      <c r="A21" s="177" t="s">
        <v>1232</v>
      </c>
      <c r="B21" s="149" t="s">
        <v>2262</v>
      </c>
      <c r="C21" s="13" t="s">
        <v>2263</v>
      </c>
      <c r="D21" s="171" t="s">
        <v>2264</v>
      </c>
      <c r="E21" s="134">
        <v>162500</v>
      </c>
    </row>
    <row r="22" spans="1:5" ht="15.75" customHeight="1">
      <c r="A22" s="177" t="s">
        <v>1234</v>
      </c>
      <c r="B22" s="149" t="s">
        <v>2265</v>
      </c>
      <c r="C22" s="13" t="s">
        <v>783</v>
      </c>
      <c r="D22" s="171" t="s">
        <v>2266</v>
      </c>
      <c r="E22" s="134">
        <v>14280</v>
      </c>
    </row>
    <row r="23" spans="1:5" ht="15.75" customHeight="1">
      <c r="A23" s="177" t="s">
        <v>1236</v>
      </c>
      <c r="B23" s="178" t="s">
        <v>2267</v>
      </c>
      <c r="C23" s="13" t="s">
        <v>2268</v>
      </c>
      <c r="D23" s="171" t="s">
        <v>2269</v>
      </c>
      <c r="E23" s="134">
        <v>6355.5</v>
      </c>
    </row>
    <row r="24" spans="1:5" ht="15.75" customHeight="1">
      <c r="A24" s="177" t="s">
        <v>1240</v>
      </c>
      <c r="B24" s="178" t="s">
        <v>2270</v>
      </c>
      <c r="C24" s="13" t="s">
        <v>2271</v>
      </c>
      <c r="D24" s="171" t="s">
        <v>1221</v>
      </c>
      <c r="E24" s="134">
        <v>15100</v>
      </c>
    </row>
    <row r="25" spans="1:5" ht="15.75" customHeight="1">
      <c r="A25" s="177" t="s">
        <v>1242</v>
      </c>
      <c r="B25" s="178" t="s">
        <v>2272</v>
      </c>
      <c r="C25" s="13" t="s">
        <v>896</v>
      </c>
      <c r="D25" s="171" t="s">
        <v>2273</v>
      </c>
      <c r="E25" s="134">
        <v>68000</v>
      </c>
    </row>
    <row r="26" spans="1:5" ht="15.75" customHeight="1">
      <c r="A26" s="177" t="s">
        <v>1245</v>
      </c>
      <c r="B26" s="149" t="s">
        <v>2274</v>
      </c>
      <c r="C26" s="13" t="s">
        <v>2275</v>
      </c>
      <c r="D26" s="171" t="s">
        <v>2276</v>
      </c>
      <c r="E26" s="134">
        <v>13585</v>
      </c>
    </row>
    <row r="27" spans="1:5" ht="15.75" customHeight="1">
      <c r="A27" s="177" t="s">
        <v>1247</v>
      </c>
      <c r="B27" s="149" t="s">
        <v>2277</v>
      </c>
      <c r="C27" s="13" t="s">
        <v>1728</v>
      </c>
      <c r="D27" s="161" t="s">
        <v>2278</v>
      </c>
      <c r="E27" s="134">
        <v>30500</v>
      </c>
    </row>
    <row r="28" spans="1:5" ht="15.75" customHeight="1">
      <c r="A28" s="177" t="s">
        <v>1249</v>
      </c>
      <c r="B28" s="149" t="s">
        <v>2279</v>
      </c>
      <c r="C28" s="13" t="s">
        <v>638</v>
      </c>
      <c r="D28" s="161" t="s">
        <v>2280</v>
      </c>
      <c r="E28" s="134">
        <v>58460</v>
      </c>
    </row>
    <row r="29" spans="1:5" ht="15.75" customHeight="1">
      <c r="A29" s="177" t="s">
        <v>1252</v>
      </c>
      <c r="B29" s="149" t="s">
        <v>2281</v>
      </c>
      <c r="C29" s="13" t="s">
        <v>378</v>
      </c>
      <c r="D29" s="161" t="s">
        <v>2282</v>
      </c>
      <c r="E29" s="134">
        <v>29694</v>
      </c>
    </row>
    <row r="30" spans="1:5" ht="15.75" customHeight="1">
      <c r="A30" s="108" t="s">
        <v>24</v>
      </c>
      <c r="B30" s="203"/>
      <c r="C30" s="204"/>
      <c r="D30" s="205"/>
      <c r="E30" s="49">
        <f>SUM(E12:E29)</f>
        <v>1457288.5</v>
      </c>
    </row>
    <row r="31" spans="1:5" ht="15.75" customHeight="1">
      <c r="A31" s="211"/>
      <c r="B31" s="196"/>
      <c r="C31" s="196"/>
      <c r="D31" s="196"/>
      <c r="E31" s="196"/>
    </row>
    <row r="32" spans="1:5" ht="15.75" customHeight="1">
      <c r="A32" s="211" t="s">
        <v>2283</v>
      </c>
      <c r="B32" s="196"/>
      <c r="C32" s="196"/>
      <c r="D32" s="196"/>
      <c r="E32" s="27">
        <f>IF(E30&gt;=10000000,5000000*2%+5000000*1%+(E30-10000000)*0.5%,IF(E30&gt;=5000000,5000000*2%+(E30-5000000)*1%,E30*2%))</f>
        <v>29145.77</v>
      </c>
    </row>
    <row r="33" spans="1:5" ht="14.25" customHeight="1">
      <c r="A33" s="211" t="s">
        <v>25</v>
      </c>
      <c r="B33" s="196"/>
      <c r="C33" s="196"/>
      <c r="D33" s="196"/>
      <c r="E33" s="196"/>
    </row>
    <row r="34" spans="1:5" ht="35.25" customHeight="1">
      <c r="A34" s="211"/>
      <c r="B34" s="196"/>
      <c r="C34" s="196"/>
      <c r="D34" s="196"/>
      <c r="E34" s="196"/>
    </row>
    <row r="35" spans="1:5" ht="15.75" customHeight="1">
      <c r="A35" s="211" t="s">
        <v>26</v>
      </c>
      <c r="B35" s="196"/>
      <c r="C35" s="196"/>
      <c r="D35" s="196"/>
      <c r="E35" s="196"/>
    </row>
    <row r="36" spans="1:5" ht="15.75" customHeight="1">
      <c r="A36" s="211" t="s">
        <v>27</v>
      </c>
      <c r="B36" s="196"/>
      <c r="C36" s="196"/>
      <c r="D36" s="196"/>
      <c r="E36" s="196"/>
    </row>
    <row r="37" spans="1:5" ht="15.75" customHeight="1">
      <c r="A37" s="211" t="s">
        <v>28</v>
      </c>
      <c r="B37" s="196"/>
      <c r="C37" s="196"/>
      <c r="D37" s="196"/>
      <c r="E37" s="196"/>
    </row>
  </sheetData>
  <mergeCells count="18">
    <mergeCell ref="A37:E37"/>
    <mergeCell ref="A8:E8"/>
    <mergeCell ref="A9:E9"/>
    <mergeCell ref="A10:E10"/>
    <mergeCell ref="B30:D30"/>
    <mergeCell ref="A31:E31"/>
    <mergeCell ref="A32:D32"/>
    <mergeCell ref="A33:E33"/>
    <mergeCell ref="A6:E6"/>
    <mergeCell ref="A7:E7"/>
    <mergeCell ref="A34:E34"/>
    <mergeCell ref="A35:E35"/>
    <mergeCell ref="A36:E36"/>
    <mergeCell ref="A1:E1"/>
    <mergeCell ref="A2:E2"/>
    <mergeCell ref="A3:E3"/>
    <mergeCell ref="A4:E4"/>
    <mergeCell ref="A5:E5"/>
  </mergeCells>
  <conditionalFormatting sqref="E12:E29">
    <cfRule type="notContainsBlanks" dxfId="25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  <pageSetUpPr fitToPage="1"/>
  </sheetPr>
  <dimension ref="A1:E37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4.1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1540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2284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77" t="s">
        <v>1209</v>
      </c>
      <c r="B12" s="24" t="s">
        <v>2244</v>
      </c>
      <c r="C12" s="78" t="s">
        <v>2138</v>
      </c>
      <c r="D12" s="161" t="s">
        <v>2245</v>
      </c>
      <c r="E12" s="14">
        <v>926400</v>
      </c>
    </row>
    <row r="13" spans="1:5" ht="15.75" customHeight="1">
      <c r="A13" s="177" t="s">
        <v>1212</v>
      </c>
      <c r="B13" s="135" t="s">
        <v>2246</v>
      </c>
      <c r="C13" s="111" t="s">
        <v>56</v>
      </c>
      <c r="D13" s="171" t="s">
        <v>2247</v>
      </c>
      <c r="E13" s="134">
        <v>28690</v>
      </c>
    </row>
    <row r="14" spans="1:5" ht="15.75" customHeight="1">
      <c r="A14" s="177" t="s">
        <v>1215</v>
      </c>
      <c r="B14" s="135" t="s">
        <v>2248</v>
      </c>
      <c r="C14" s="111" t="s">
        <v>56</v>
      </c>
      <c r="D14" s="171" t="s">
        <v>2249</v>
      </c>
      <c r="E14" s="134">
        <v>13048</v>
      </c>
    </row>
    <row r="15" spans="1:5" ht="15.75" customHeight="1">
      <c r="A15" s="177" t="s">
        <v>1217</v>
      </c>
      <c r="B15" s="24" t="s">
        <v>2250</v>
      </c>
      <c r="C15" s="100" t="s">
        <v>56</v>
      </c>
      <c r="D15" s="162" t="s">
        <v>2044</v>
      </c>
      <c r="E15" s="14">
        <v>10880</v>
      </c>
    </row>
    <row r="16" spans="1:5" ht="15.75" customHeight="1">
      <c r="A16" s="177" t="s">
        <v>1221</v>
      </c>
      <c r="B16" s="12" t="s">
        <v>2251</v>
      </c>
      <c r="C16" s="13" t="s">
        <v>1728</v>
      </c>
      <c r="D16" s="171" t="s">
        <v>2252</v>
      </c>
      <c r="E16" s="134">
        <v>10066</v>
      </c>
    </row>
    <row r="17" spans="1:5" ht="15.75" customHeight="1">
      <c r="A17" s="177" t="s">
        <v>1224</v>
      </c>
      <c r="B17" s="12" t="s">
        <v>2253</v>
      </c>
      <c r="C17" s="13" t="s">
        <v>1728</v>
      </c>
      <c r="D17" s="171" t="s">
        <v>2254</v>
      </c>
      <c r="E17" s="134">
        <v>27276</v>
      </c>
    </row>
    <row r="18" spans="1:5" ht="15.75" customHeight="1">
      <c r="A18" s="177" t="s">
        <v>1226</v>
      </c>
      <c r="B18" s="12" t="s">
        <v>2255</v>
      </c>
      <c r="C18" s="13" t="s">
        <v>1728</v>
      </c>
      <c r="D18" s="171" t="s">
        <v>2256</v>
      </c>
      <c r="E18" s="134">
        <v>24664</v>
      </c>
    </row>
    <row r="19" spans="1:5" ht="15.75" customHeight="1">
      <c r="A19" s="177" t="s">
        <v>1228</v>
      </c>
      <c r="B19" s="12" t="s">
        <v>2257</v>
      </c>
      <c r="C19" s="13" t="s">
        <v>51</v>
      </c>
      <c r="D19" s="171" t="s">
        <v>2258</v>
      </c>
      <c r="E19" s="134">
        <v>5210</v>
      </c>
    </row>
    <row r="20" spans="1:5" ht="15.75" customHeight="1">
      <c r="A20" s="177" t="s">
        <v>1230</v>
      </c>
      <c r="B20" s="12" t="s">
        <v>2259</v>
      </c>
      <c r="C20" s="13" t="s">
        <v>2260</v>
      </c>
      <c r="D20" s="171" t="s">
        <v>2261</v>
      </c>
      <c r="E20" s="134">
        <v>12580</v>
      </c>
    </row>
    <row r="21" spans="1:5" ht="15.75" customHeight="1">
      <c r="A21" s="177" t="s">
        <v>1232</v>
      </c>
      <c r="B21" s="149" t="s">
        <v>2262</v>
      </c>
      <c r="C21" s="13" t="s">
        <v>2263</v>
      </c>
      <c r="D21" s="171" t="s">
        <v>2264</v>
      </c>
      <c r="E21" s="134">
        <v>162500</v>
      </c>
    </row>
    <row r="22" spans="1:5" ht="15.75" customHeight="1">
      <c r="A22" s="177" t="s">
        <v>1234</v>
      </c>
      <c r="B22" s="149" t="s">
        <v>2265</v>
      </c>
      <c r="C22" s="13" t="s">
        <v>783</v>
      </c>
      <c r="D22" s="171" t="s">
        <v>2266</v>
      </c>
      <c r="E22" s="134">
        <v>14280</v>
      </c>
    </row>
    <row r="23" spans="1:5" ht="15.75" customHeight="1">
      <c r="A23" s="177" t="s">
        <v>1236</v>
      </c>
      <c r="B23" s="178" t="s">
        <v>2267</v>
      </c>
      <c r="C23" s="13" t="s">
        <v>2268</v>
      </c>
      <c r="D23" s="171" t="s">
        <v>2269</v>
      </c>
      <c r="E23" s="134">
        <v>6355.5</v>
      </c>
    </row>
    <row r="24" spans="1:5" ht="15.75" customHeight="1">
      <c r="A24" s="177" t="s">
        <v>1240</v>
      </c>
      <c r="B24" s="178" t="s">
        <v>2270</v>
      </c>
      <c r="C24" s="13" t="s">
        <v>2271</v>
      </c>
      <c r="D24" s="171" t="s">
        <v>1221</v>
      </c>
      <c r="E24" s="134">
        <v>15100</v>
      </c>
    </row>
    <row r="25" spans="1:5" ht="15.75" customHeight="1">
      <c r="A25" s="177" t="s">
        <v>1242</v>
      </c>
      <c r="B25" s="178" t="s">
        <v>2272</v>
      </c>
      <c r="C25" s="13" t="s">
        <v>896</v>
      </c>
      <c r="D25" s="171" t="s">
        <v>2273</v>
      </c>
      <c r="E25" s="134">
        <v>68000</v>
      </c>
    </row>
    <row r="26" spans="1:5" ht="15.75" customHeight="1">
      <c r="A26" s="177" t="s">
        <v>1245</v>
      </c>
      <c r="B26" s="149" t="s">
        <v>2274</v>
      </c>
      <c r="C26" s="13" t="s">
        <v>2275</v>
      </c>
      <c r="D26" s="171" t="s">
        <v>2276</v>
      </c>
      <c r="E26" s="134">
        <v>13585</v>
      </c>
    </row>
    <row r="27" spans="1:5" ht="15.75" customHeight="1">
      <c r="A27" s="177" t="s">
        <v>1247</v>
      </c>
      <c r="B27" s="149" t="s">
        <v>2277</v>
      </c>
      <c r="C27" s="13" t="s">
        <v>1728</v>
      </c>
      <c r="D27" s="161" t="s">
        <v>2278</v>
      </c>
      <c r="E27" s="134">
        <v>30500</v>
      </c>
    </row>
    <row r="28" spans="1:5" ht="15.75" customHeight="1">
      <c r="A28" s="177" t="s">
        <v>1249</v>
      </c>
      <c r="B28" s="149" t="s">
        <v>2279</v>
      </c>
      <c r="C28" s="13" t="s">
        <v>638</v>
      </c>
      <c r="D28" s="161" t="s">
        <v>2280</v>
      </c>
      <c r="E28" s="134">
        <v>58460</v>
      </c>
    </row>
    <row r="29" spans="1:5" ht="15.75" customHeight="1">
      <c r="A29" s="177" t="s">
        <v>1252</v>
      </c>
      <c r="B29" s="149" t="s">
        <v>2281</v>
      </c>
      <c r="C29" s="13" t="s">
        <v>378</v>
      </c>
      <c r="D29" s="161" t="s">
        <v>2282</v>
      </c>
      <c r="E29" s="134">
        <v>29694</v>
      </c>
    </row>
    <row r="30" spans="1:5" ht="15.75" customHeight="1">
      <c r="A30" s="108" t="s">
        <v>24</v>
      </c>
      <c r="B30" s="203"/>
      <c r="C30" s="204"/>
      <c r="D30" s="205"/>
      <c r="E30" s="49">
        <f>SUM(E12:E29)</f>
        <v>1457288.5</v>
      </c>
    </row>
    <row r="31" spans="1:5" ht="15.75" customHeight="1">
      <c r="A31" s="211"/>
      <c r="B31" s="196"/>
      <c r="C31" s="196"/>
      <c r="D31" s="196"/>
      <c r="E31" s="196"/>
    </row>
    <row r="32" spans="1:5" ht="15.75" customHeight="1">
      <c r="A32" s="211" t="s">
        <v>2285</v>
      </c>
      <c r="B32" s="196"/>
      <c r="C32" s="196"/>
      <c r="D32" s="196"/>
      <c r="E32" s="27">
        <f>E30*8%</f>
        <v>116583.08</v>
      </c>
    </row>
    <row r="33" spans="1:5" ht="14.25" customHeight="1">
      <c r="A33" s="211" t="s">
        <v>25</v>
      </c>
      <c r="B33" s="196"/>
      <c r="C33" s="196"/>
      <c r="D33" s="196"/>
      <c r="E33" s="196"/>
    </row>
    <row r="34" spans="1:5" ht="35.25" customHeight="1">
      <c r="A34" s="211"/>
      <c r="B34" s="196"/>
      <c r="C34" s="196"/>
      <c r="D34" s="196"/>
      <c r="E34" s="196"/>
    </row>
    <row r="35" spans="1:5" ht="15.75" customHeight="1">
      <c r="A35" s="211" t="s">
        <v>26</v>
      </c>
      <c r="B35" s="196"/>
      <c r="C35" s="196"/>
      <c r="D35" s="196"/>
      <c r="E35" s="196"/>
    </row>
    <row r="36" spans="1:5" ht="15.75" customHeight="1">
      <c r="A36" s="211" t="s">
        <v>27</v>
      </c>
      <c r="B36" s="196"/>
      <c r="C36" s="196"/>
      <c r="D36" s="196"/>
      <c r="E36" s="196"/>
    </row>
    <row r="37" spans="1:5" ht="15.75" customHeight="1">
      <c r="A37" s="211" t="s">
        <v>28</v>
      </c>
      <c r="B37" s="196"/>
      <c r="C37" s="196"/>
      <c r="D37" s="196"/>
      <c r="E37" s="196"/>
    </row>
  </sheetData>
  <mergeCells count="18">
    <mergeCell ref="A37:E37"/>
    <mergeCell ref="A8:E8"/>
    <mergeCell ref="A9:E9"/>
    <mergeCell ref="A10:E10"/>
    <mergeCell ref="B30:D30"/>
    <mergeCell ref="A31:E31"/>
    <mergeCell ref="A32:D32"/>
    <mergeCell ref="A33:E33"/>
    <mergeCell ref="A6:E6"/>
    <mergeCell ref="A7:E7"/>
    <mergeCell ref="A34:E34"/>
    <mergeCell ref="A35:E35"/>
    <mergeCell ref="A36:E36"/>
    <mergeCell ref="A1:E1"/>
    <mergeCell ref="A2:E2"/>
    <mergeCell ref="A3:E3"/>
    <mergeCell ref="A4:E4"/>
    <mergeCell ref="A5:E5"/>
  </mergeCells>
  <conditionalFormatting sqref="E12:E29">
    <cfRule type="notContainsBlanks" dxfId="24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  <pageSetUpPr fitToPage="1"/>
  </sheetPr>
  <dimension ref="A1:E43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4.1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7" t="s">
        <v>1</v>
      </c>
      <c r="B2" s="196"/>
      <c r="C2" s="196"/>
      <c r="D2" s="196"/>
      <c r="E2" s="196"/>
    </row>
    <row r="3" spans="1:5" ht="15.75" customHeight="1">
      <c r="A3" s="215" t="s">
        <v>2</v>
      </c>
      <c r="B3" s="196"/>
      <c r="C3" s="196"/>
      <c r="D3" s="196"/>
      <c r="E3" s="196"/>
    </row>
    <row r="4" spans="1:5" ht="15.75" customHeight="1">
      <c r="A4" s="215" t="s">
        <v>3</v>
      </c>
      <c r="B4" s="196"/>
      <c r="C4" s="196"/>
      <c r="D4" s="196"/>
      <c r="E4" s="196"/>
    </row>
    <row r="5" spans="1:5" ht="15.75" customHeight="1">
      <c r="A5" s="215" t="s">
        <v>4</v>
      </c>
      <c r="B5" s="196"/>
      <c r="C5" s="196"/>
      <c r="D5" s="196"/>
      <c r="E5" s="196"/>
    </row>
    <row r="6" spans="1:5" ht="15.75" customHeight="1">
      <c r="A6" s="215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2286</v>
      </c>
      <c r="B9" s="196"/>
      <c r="C9" s="196"/>
      <c r="D9" s="196"/>
      <c r="E9" s="196"/>
    </row>
    <row r="10" spans="1:5" ht="15.75" customHeight="1">
      <c r="A10" s="212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77" t="s">
        <v>1209</v>
      </c>
      <c r="B12" s="149" t="s">
        <v>2287</v>
      </c>
      <c r="C12" s="13" t="s">
        <v>629</v>
      </c>
      <c r="D12" s="171" t="s">
        <v>2288</v>
      </c>
      <c r="E12" s="134">
        <v>30850</v>
      </c>
    </row>
    <row r="13" spans="1:5" ht="15.75" customHeight="1">
      <c r="A13" s="177" t="s">
        <v>1212</v>
      </c>
      <c r="B13" s="149" t="s">
        <v>2289</v>
      </c>
      <c r="C13" s="13" t="s">
        <v>15</v>
      </c>
      <c r="D13" s="171" t="s">
        <v>2290</v>
      </c>
      <c r="E13" s="134">
        <v>63186.34</v>
      </c>
    </row>
    <row r="14" spans="1:5" ht="15.75" customHeight="1">
      <c r="A14" s="177" t="s">
        <v>1215</v>
      </c>
      <c r="B14" s="178" t="s">
        <v>2291</v>
      </c>
      <c r="C14" s="13" t="s">
        <v>2292</v>
      </c>
      <c r="D14" s="171" t="s">
        <v>2293</v>
      </c>
      <c r="E14" s="134">
        <v>28700</v>
      </c>
    </row>
    <row r="15" spans="1:5" ht="15.75" customHeight="1">
      <c r="A15" s="177" t="s">
        <v>1217</v>
      </c>
      <c r="B15" s="12" t="s">
        <v>2294</v>
      </c>
      <c r="C15" s="13" t="s">
        <v>2275</v>
      </c>
      <c r="D15" s="161" t="s">
        <v>2295</v>
      </c>
      <c r="E15" s="134">
        <v>1210</v>
      </c>
    </row>
    <row r="16" spans="1:5" ht="15.75" customHeight="1">
      <c r="A16" s="177" t="s">
        <v>1221</v>
      </c>
      <c r="B16" s="12" t="s">
        <v>2296</v>
      </c>
      <c r="C16" s="13" t="s">
        <v>472</v>
      </c>
      <c r="D16" s="161" t="s">
        <v>2096</v>
      </c>
      <c r="E16" s="134">
        <v>1700</v>
      </c>
    </row>
    <row r="17" spans="1:5" ht="15.75" customHeight="1">
      <c r="A17" s="177" t="s">
        <v>1224</v>
      </c>
      <c r="B17" s="149" t="s">
        <v>2297</v>
      </c>
      <c r="C17" s="13" t="s">
        <v>1728</v>
      </c>
      <c r="D17" s="161" t="s">
        <v>2298</v>
      </c>
      <c r="E17" s="134">
        <v>18982</v>
      </c>
    </row>
    <row r="18" spans="1:5" ht="15.75" customHeight="1">
      <c r="A18" s="177" t="s">
        <v>1226</v>
      </c>
      <c r="B18" s="178" t="s">
        <v>2029</v>
      </c>
      <c r="C18" s="13" t="s">
        <v>2299</v>
      </c>
      <c r="D18" s="171" t="s">
        <v>2300</v>
      </c>
      <c r="E18" s="134">
        <v>12448</v>
      </c>
    </row>
    <row r="19" spans="1:5" ht="15.75" customHeight="1">
      <c r="A19" s="177" t="s">
        <v>1228</v>
      </c>
      <c r="B19" s="149" t="s">
        <v>2301</v>
      </c>
      <c r="C19" s="13" t="s">
        <v>828</v>
      </c>
      <c r="D19" s="171" t="s">
        <v>2302</v>
      </c>
      <c r="E19" s="134">
        <v>68000</v>
      </c>
    </row>
    <row r="20" spans="1:5" ht="15.75" customHeight="1">
      <c r="A20" s="177" t="s">
        <v>1230</v>
      </c>
      <c r="B20" s="149" t="s">
        <v>1190</v>
      </c>
      <c r="C20" s="13" t="s">
        <v>828</v>
      </c>
      <c r="D20" s="13" t="s">
        <v>2303</v>
      </c>
      <c r="E20" s="134">
        <v>76900</v>
      </c>
    </row>
    <row r="21" spans="1:5" ht="15.75" customHeight="1">
      <c r="A21" s="177" t="s">
        <v>1232</v>
      </c>
      <c r="B21" s="149" t="s">
        <v>2304</v>
      </c>
      <c r="C21" s="13" t="s">
        <v>2305</v>
      </c>
      <c r="D21" s="171" t="s">
        <v>2306</v>
      </c>
      <c r="E21" s="134">
        <v>27850</v>
      </c>
    </row>
    <row r="22" spans="1:5" ht="15.75" customHeight="1">
      <c r="A22" s="177" t="s">
        <v>1234</v>
      </c>
      <c r="B22" s="178" t="s">
        <v>2307</v>
      </c>
      <c r="C22" s="100" t="s">
        <v>629</v>
      </c>
      <c r="D22" s="171" t="s">
        <v>2308</v>
      </c>
      <c r="E22" s="134">
        <v>11700</v>
      </c>
    </row>
    <row r="23" spans="1:5" ht="15.75" customHeight="1">
      <c r="A23" s="177" t="s">
        <v>1236</v>
      </c>
      <c r="B23" s="178" t="s">
        <v>2309</v>
      </c>
      <c r="C23" s="13" t="s">
        <v>378</v>
      </c>
      <c r="D23" s="171" t="s">
        <v>2310</v>
      </c>
      <c r="E23" s="134">
        <v>148370</v>
      </c>
    </row>
    <row r="24" spans="1:5" ht="15.75" customHeight="1">
      <c r="A24" s="177" t="s">
        <v>1240</v>
      </c>
      <c r="B24" s="178" t="s">
        <v>2311</v>
      </c>
      <c r="C24" s="13" t="s">
        <v>2312</v>
      </c>
      <c r="D24" s="171" t="s">
        <v>2313</v>
      </c>
      <c r="E24" s="134">
        <v>19255</v>
      </c>
    </row>
    <row r="25" spans="1:5" ht="15.75" customHeight="1">
      <c r="A25" s="177" t="s">
        <v>1242</v>
      </c>
      <c r="B25" s="149" t="s">
        <v>2314</v>
      </c>
      <c r="C25" s="13" t="s">
        <v>1150</v>
      </c>
      <c r="D25" s="171" t="s">
        <v>2315</v>
      </c>
      <c r="E25" s="134">
        <v>10769.4</v>
      </c>
    </row>
    <row r="26" spans="1:5" ht="15.75" customHeight="1">
      <c r="A26" s="177" t="s">
        <v>1245</v>
      </c>
      <c r="B26" s="149" t="s">
        <v>2316</v>
      </c>
      <c r="C26" s="13" t="s">
        <v>906</v>
      </c>
      <c r="D26" s="171" t="s">
        <v>2317</v>
      </c>
      <c r="E26" s="134">
        <v>20812</v>
      </c>
    </row>
    <row r="27" spans="1:5" ht="15.75" customHeight="1">
      <c r="A27" s="177" t="s">
        <v>1247</v>
      </c>
      <c r="B27" s="24" t="s">
        <v>2318</v>
      </c>
      <c r="C27" s="13" t="s">
        <v>1203</v>
      </c>
      <c r="D27" s="161" t="s">
        <v>2319</v>
      </c>
      <c r="E27" s="14">
        <v>176000</v>
      </c>
    </row>
    <row r="28" spans="1:5" ht="15.75" customHeight="1">
      <c r="A28" s="177" t="s">
        <v>1249</v>
      </c>
      <c r="B28" s="149" t="s">
        <v>2320</v>
      </c>
      <c r="C28" s="13" t="s">
        <v>2321</v>
      </c>
      <c r="D28" s="171" t="s">
        <v>2322</v>
      </c>
      <c r="E28" s="134">
        <v>21450</v>
      </c>
    </row>
    <row r="29" spans="1:5" ht="15.75" customHeight="1">
      <c r="A29" s="177" t="s">
        <v>1252</v>
      </c>
      <c r="B29" s="149" t="s">
        <v>2323</v>
      </c>
      <c r="C29" s="13" t="s">
        <v>378</v>
      </c>
      <c r="D29" s="171" t="s">
        <v>2324</v>
      </c>
      <c r="E29" s="134">
        <v>71740</v>
      </c>
    </row>
    <row r="30" spans="1:5" ht="15.75" customHeight="1">
      <c r="A30" s="177" t="s">
        <v>1255</v>
      </c>
      <c r="B30" s="149" t="s">
        <v>2325</v>
      </c>
      <c r="C30" s="13" t="s">
        <v>378</v>
      </c>
      <c r="D30" s="161" t="s">
        <v>2326</v>
      </c>
      <c r="E30" s="134">
        <v>17007</v>
      </c>
    </row>
    <row r="31" spans="1:5" ht="15.75" customHeight="1">
      <c r="A31" s="177" t="s">
        <v>1257</v>
      </c>
      <c r="B31" s="149" t="s">
        <v>2327</v>
      </c>
      <c r="C31" s="13" t="s">
        <v>1165</v>
      </c>
      <c r="D31" s="161" t="s">
        <v>2328</v>
      </c>
      <c r="E31" s="134">
        <v>57300</v>
      </c>
    </row>
    <row r="32" spans="1:5" ht="15.75" customHeight="1">
      <c r="A32" s="177" t="s">
        <v>1259</v>
      </c>
      <c r="B32" s="149" t="s">
        <v>2329</v>
      </c>
      <c r="C32" s="13" t="s">
        <v>378</v>
      </c>
      <c r="D32" s="161" t="s">
        <v>2330</v>
      </c>
      <c r="E32" s="134">
        <v>13708</v>
      </c>
    </row>
    <row r="33" spans="1:5" ht="15.75" customHeight="1">
      <c r="A33" s="177" t="s">
        <v>1263</v>
      </c>
      <c r="B33" s="149" t="s">
        <v>2331</v>
      </c>
      <c r="C33" s="13" t="s">
        <v>2332</v>
      </c>
      <c r="D33" s="161" t="s">
        <v>2333</v>
      </c>
      <c r="E33" s="134">
        <v>7173.61</v>
      </c>
    </row>
    <row r="34" spans="1:5" ht="15.75" customHeight="1">
      <c r="A34" s="177" t="s">
        <v>1267</v>
      </c>
      <c r="B34" s="12" t="s">
        <v>2334</v>
      </c>
      <c r="C34" s="13" t="s">
        <v>937</v>
      </c>
      <c r="D34" s="161" t="s">
        <v>2335</v>
      </c>
      <c r="E34" s="134">
        <v>69000</v>
      </c>
    </row>
    <row r="35" spans="1:5" ht="15.75" customHeight="1">
      <c r="A35" s="177" t="s">
        <v>1270</v>
      </c>
      <c r="B35" s="12" t="s">
        <v>2336</v>
      </c>
      <c r="C35" s="13" t="s">
        <v>378</v>
      </c>
      <c r="D35" s="161" t="s">
        <v>2337</v>
      </c>
      <c r="E35" s="134">
        <v>18261</v>
      </c>
    </row>
    <row r="36" spans="1:5" ht="15.75" customHeight="1">
      <c r="A36" s="105" t="s">
        <v>24</v>
      </c>
      <c r="B36" s="203"/>
      <c r="C36" s="204"/>
      <c r="D36" s="205"/>
      <c r="E36" s="49">
        <f>SUM(E12:E35)</f>
        <v>992372.35</v>
      </c>
    </row>
    <row r="37" spans="1:5" ht="15.75" customHeight="1">
      <c r="A37" s="212"/>
      <c r="B37" s="196"/>
      <c r="C37" s="196"/>
      <c r="D37" s="196"/>
      <c r="E37" s="196"/>
    </row>
    <row r="38" spans="1:5" ht="15.75" customHeight="1">
      <c r="A38" s="212" t="s">
        <v>2338</v>
      </c>
      <c r="B38" s="196"/>
      <c r="C38" s="196"/>
      <c r="D38" s="196"/>
      <c r="E38" s="27">
        <f>IF(E36&gt;=10000000,5000000*2%+5000000*1%+(E36-10000000)*0.5%,IF(E36&gt;=5000000,5000000*2%+(E36-5000000)*1%,E36*2%))</f>
        <v>19847.447</v>
      </c>
    </row>
    <row r="39" spans="1:5" ht="14.25" customHeight="1">
      <c r="A39" s="212" t="s">
        <v>25</v>
      </c>
      <c r="B39" s="196"/>
      <c r="C39" s="196"/>
      <c r="D39" s="196"/>
      <c r="E39" s="196"/>
    </row>
    <row r="40" spans="1:5" ht="35.25" customHeight="1">
      <c r="A40" s="212"/>
      <c r="B40" s="196"/>
      <c r="C40" s="196"/>
      <c r="D40" s="196"/>
      <c r="E40" s="196"/>
    </row>
    <row r="41" spans="1:5" ht="15.75" customHeight="1">
      <c r="A41" s="212" t="s">
        <v>26</v>
      </c>
      <c r="B41" s="196"/>
      <c r="C41" s="196"/>
      <c r="D41" s="196"/>
      <c r="E41" s="196"/>
    </row>
    <row r="42" spans="1:5" ht="15.75" customHeight="1">
      <c r="A42" s="212" t="s">
        <v>27</v>
      </c>
      <c r="B42" s="196"/>
      <c r="C42" s="196"/>
      <c r="D42" s="196"/>
      <c r="E42" s="196"/>
    </row>
    <row r="43" spans="1:5" ht="15.75" customHeight="1">
      <c r="A43" s="212" t="s">
        <v>28</v>
      </c>
      <c r="B43" s="196"/>
      <c r="C43" s="196"/>
      <c r="D43" s="196"/>
      <c r="E43" s="196"/>
    </row>
  </sheetData>
  <mergeCells count="18">
    <mergeCell ref="A43:E43"/>
    <mergeCell ref="A8:E8"/>
    <mergeCell ref="A9:E9"/>
    <mergeCell ref="A10:E10"/>
    <mergeCell ref="B36:D36"/>
    <mergeCell ref="A37:E37"/>
    <mergeCell ref="A38:D38"/>
    <mergeCell ref="A39:E39"/>
    <mergeCell ref="A6:E6"/>
    <mergeCell ref="A7:E7"/>
    <mergeCell ref="A40:E40"/>
    <mergeCell ref="A41:E41"/>
    <mergeCell ref="A42:E42"/>
    <mergeCell ref="A1:E1"/>
    <mergeCell ref="A2:E2"/>
    <mergeCell ref="A3:E3"/>
    <mergeCell ref="A4:E4"/>
    <mergeCell ref="A5:E5"/>
  </mergeCells>
  <conditionalFormatting sqref="E12:E35">
    <cfRule type="notContainsBlanks" dxfId="23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  <pageSetUpPr fitToPage="1"/>
  </sheetPr>
  <dimension ref="A1:E43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4.1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7" t="s">
        <v>1</v>
      </c>
      <c r="B2" s="196"/>
      <c r="C2" s="196"/>
      <c r="D2" s="196"/>
      <c r="E2" s="196"/>
    </row>
    <row r="3" spans="1:5" ht="15.75" customHeight="1">
      <c r="A3" s="215" t="s">
        <v>2</v>
      </c>
      <c r="B3" s="196"/>
      <c r="C3" s="196"/>
      <c r="D3" s="196"/>
      <c r="E3" s="196"/>
    </row>
    <row r="4" spans="1:5" ht="15.75" customHeight="1">
      <c r="A4" s="215" t="s">
        <v>3</v>
      </c>
      <c r="B4" s="196"/>
      <c r="C4" s="196"/>
      <c r="D4" s="196"/>
      <c r="E4" s="196"/>
    </row>
    <row r="5" spans="1:5" ht="15.75" customHeight="1">
      <c r="A5" s="215" t="s">
        <v>4</v>
      </c>
      <c r="B5" s="196"/>
      <c r="C5" s="196"/>
      <c r="D5" s="196"/>
      <c r="E5" s="196"/>
    </row>
    <row r="6" spans="1:5" ht="15.75" customHeight="1">
      <c r="A6" s="215" t="s">
        <v>5</v>
      </c>
      <c r="B6" s="196"/>
      <c r="C6" s="196"/>
      <c r="D6" s="196"/>
      <c r="E6" s="196"/>
    </row>
    <row r="7" spans="1:5" ht="15.75" customHeight="1">
      <c r="A7" s="210" t="s">
        <v>6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2339</v>
      </c>
      <c r="B9" s="196"/>
      <c r="C9" s="196"/>
      <c r="D9" s="196"/>
      <c r="E9" s="196"/>
    </row>
    <row r="10" spans="1:5" ht="15.75" customHeight="1">
      <c r="A10" s="212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77" t="s">
        <v>1209</v>
      </c>
      <c r="B12" s="149" t="s">
        <v>2287</v>
      </c>
      <c r="C12" s="13" t="s">
        <v>629</v>
      </c>
      <c r="D12" s="171" t="s">
        <v>2288</v>
      </c>
      <c r="E12" s="134">
        <v>30850</v>
      </c>
    </row>
    <row r="13" spans="1:5" ht="15.75" customHeight="1">
      <c r="A13" s="177" t="s">
        <v>1212</v>
      </c>
      <c r="B13" s="149" t="s">
        <v>2289</v>
      </c>
      <c r="C13" s="13" t="s">
        <v>15</v>
      </c>
      <c r="D13" s="171" t="s">
        <v>2290</v>
      </c>
      <c r="E13" s="134">
        <v>63186.34</v>
      </c>
    </row>
    <row r="14" spans="1:5" ht="15.75" customHeight="1">
      <c r="A14" s="177" t="s">
        <v>1215</v>
      </c>
      <c r="B14" s="178" t="s">
        <v>2291</v>
      </c>
      <c r="C14" s="13" t="s">
        <v>2292</v>
      </c>
      <c r="D14" s="171" t="s">
        <v>2293</v>
      </c>
      <c r="E14" s="134">
        <v>28700</v>
      </c>
    </row>
    <row r="15" spans="1:5" ht="15.75" customHeight="1">
      <c r="A15" s="177" t="s">
        <v>1217</v>
      </c>
      <c r="B15" s="12" t="s">
        <v>2294</v>
      </c>
      <c r="C15" s="13" t="s">
        <v>2275</v>
      </c>
      <c r="D15" s="161" t="s">
        <v>2295</v>
      </c>
      <c r="E15" s="134">
        <v>1210</v>
      </c>
    </row>
    <row r="16" spans="1:5" ht="15.75" customHeight="1">
      <c r="A16" s="177" t="s">
        <v>1221</v>
      </c>
      <c r="B16" s="12" t="s">
        <v>2296</v>
      </c>
      <c r="C16" s="13" t="s">
        <v>472</v>
      </c>
      <c r="D16" s="161" t="s">
        <v>2096</v>
      </c>
      <c r="E16" s="134">
        <v>1700</v>
      </c>
    </row>
    <row r="17" spans="1:5" ht="15.75" customHeight="1">
      <c r="A17" s="177" t="s">
        <v>1224</v>
      </c>
      <c r="B17" s="149" t="s">
        <v>2297</v>
      </c>
      <c r="C17" s="13" t="s">
        <v>1728</v>
      </c>
      <c r="D17" s="161" t="s">
        <v>2298</v>
      </c>
      <c r="E17" s="134">
        <v>18982</v>
      </c>
    </row>
    <row r="18" spans="1:5" ht="15.75" customHeight="1">
      <c r="A18" s="177" t="s">
        <v>1226</v>
      </c>
      <c r="B18" s="178" t="s">
        <v>2029</v>
      </c>
      <c r="C18" s="13" t="s">
        <v>2299</v>
      </c>
      <c r="D18" s="171" t="s">
        <v>2300</v>
      </c>
      <c r="E18" s="134">
        <v>12448</v>
      </c>
    </row>
    <row r="19" spans="1:5" ht="15.75" customHeight="1">
      <c r="A19" s="177" t="s">
        <v>1228</v>
      </c>
      <c r="B19" s="149" t="s">
        <v>2301</v>
      </c>
      <c r="C19" s="13" t="s">
        <v>828</v>
      </c>
      <c r="D19" s="171" t="s">
        <v>2302</v>
      </c>
      <c r="E19" s="134">
        <v>68000</v>
      </c>
    </row>
    <row r="20" spans="1:5" ht="15.75" customHeight="1">
      <c r="A20" s="177" t="s">
        <v>1230</v>
      </c>
      <c r="B20" s="149" t="s">
        <v>1190</v>
      </c>
      <c r="C20" s="13" t="s">
        <v>828</v>
      </c>
      <c r="D20" s="13" t="s">
        <v>2303</v>
      </c>
      <c r="E20" s="134">
        <v>76900</v>
      </c>
    </row>
    <row r="21" spans="1:5" ht="15.75" customHeight="1">
      <c r="A21" s="177" t="s">
        <v>1232</v>
      </c>
      <c r="B21" s="149" t="s">
        <v>2304</v>
      </c>
      <c r="C21" s="13" t="s">
        <v>2305</v>
      </c>
      <c r="D21" s="171" t="s">
        <v>2306</v>
      </c>
      <c r="E21" s="134">
        <v>27850</v>
      </c>
    </row>
    <row r="22" spans="1:5" ht="15.75" customHeight="1">
      <c r="A22" s="177" t="s">
        <v>1234</v>
      </c>
      <c r="B22" s="178" t="s">
        <v>2307</v>
      </c>
      <c r="C22" s="100" t="s">
        <v>629</v>
      </c>
      <c r="D22" s="171" t="s">
        <v>2308</v>
      </c>
      <c r="E22" s="134">
        <v>11700</v>
      </c>
    </row>
    <row r="23" spans="1:5" ht="15.75" customHeight="1">
      <c r="A23" s="177" t="s">
        <v>1236</v>
      </c>
      <c r="B23" s="178" t="s">
        <v>2309</v>
      </c>
      <c r="C23" s="13" t="s">
        <v>378</v>
      </c>
      <c r="D23" s="171" t="s">
        <v>2310</v>
      </c>
      <c r="E23" s="134">
        <v>148370</v>
      </c>
    </row>
    <row r="24" spans="1:5" ht="15.75" customHeight="1">
      <c r="A24" s="177" t="s">
        <v>1240</v>
      </c>
      <c r="B24" s="178" t="s">
        <v>2311</v>
      </c>
      <c r="C24" s="13" t="s">
        <v>2312</v>
      </c>
      <c r="D24" s="171" t="s">
        <v>2313</v>
      </c>
      <c r="E24" s="134">
        <v>19255</v>
      </c>
    </row>
    <row r="25" spans="1:5" ht="15.75" customHeight="1">
      <c r="A25" s="177" t="s">
        <v>1242</v>
      </c>
      <c r="B25" s="149" t="s">
        <v>2314</v>
      </c>
      <c r="C25" s="13" t="s">
        <v>1150</v>
      </c>
      <c r="D25" s="171" t="s">
        <v>2315</v>
      </c>
      <c r="E25" s="134">
        <v>10769.4</v>
      </c>
    </row>
    <row r="26" spans="1:5" ht="15.75" customHeight="1">
      <c r="A26" s="177" t="s">
        <v>1245</v>
      </c>
      <c r="B26" s="149" t="s">
        <v>2316</v>
      </c>
      <c r="C26" s="13" t="s">
        <v>906</v>
      </c>
      <c r="D26" s="171" t="s">
        <v>2317</v>
      </c>
      <c r="E26" s="134">
        <v>20812</v>
      </c>
    </row>
    <row r="27" spans="1:5" ht="15.75" customHeight="1">
      <c r="A27" s="177" t="s">
        <v>1247</v>
      </c>
      <c r="B27" s="24" t="s">
        <v>2318</v>
      </c>
      <c r="C27" s="13" t="s">
        <v>1203</v>
      </c>
      <c r="D27" s="161" t="s">
        <v>2319</v>
      </c>
      <c r="E27" s="14">
        <v>176000</v>
      </c>
    </row>
    <row r="28" spans="1:5" ht="15.75" customHeight="1">
      <c r="A28" s="177" t="s">
        <v>1249</v>
      </c>
      <c r="B28" s="149" t="s">
        <v>2320</v>
      </c>
      <c r="C28" s="13" t="s">
        <v>2321</v>
      </c>
      <c r="D28" s="171" t="s">
        <v>2322</v>
      </c>
      <c r="E28" s="134">
        <v>21450</v>
      </c>
    </row>
    <row r="29" spans="1:5" ht="15.75" customHeight="1">
      <c r="A29" s="177" t="s">
        <v>1252</v>
      </c>
      <c r="B29" s="149" t="s">
        <v>2323</v>
      </c>
      <c r="C29" s="13" t="s">
        <v>378</v>
      </c>
      <c r="D29" s="171" t="s">
        <v>2324</v>
      </c>
      <c r="E29" s="134">
        <v>71740</v>
      </c>
    </row>
    <row r="30" spans="1:5" ht="15.75" customHeight="1">
      <c r="A30" s="177" t="s">
        <v>1255</v>
      </c>
      <c r="B30" s="149" t="s">
        <v>2325</v>
      </c>
      <c r="C30" s="13" t="s">
        <v>378</v>
      </c>
      <c r="D30" s="161" t="s">
        <v>2326</v>
      </c>
      <c r="E30" s="134">
        <v>17007</v>
      </c>
    </row>
    <row r="31" spans="1:5" ht="15.75" customHeight="1">
      <c r="A31" s="177" t="s">
        <v>1257</v>
      </c>
      <c r="B31" s="149" t="s">
        <v>2327</v>
      </c>
      <c r="C31" s="13" t="s">
        <v>1165</v>
      </c>
      <c r="D31" s="161" t="s">
        <v>2328</v>
      </c>
      <c r="E31" s="134">
        <v>57300</v>
      </c>
    </row>
    <row r="32" spans="1:5" ht="15.75" customHeight="1">
      <c r="A32" s="177" t="s">
        <v>1259</v>
      </c>
      <c r="B32" s="149" t="s">
        <v>2329</v>
      </c>
      <c r="C32" s="13" t="s">
        <v>378</v>
      </c>
      <c r="D32" s="161" t="s">
        <v>2330</v>
      </c>
      <c r="E32" s="134">
        <v>13708</v>
      </c>
    </row>
    <row r="33" spans="1:5" ht="15.75" customHeight="1">
      <c r="A33" s="177" t="s">
        <v>1263</v>
      </c>
      <c r="B33" s="149" t="s">
        <v>2331</v>
      </c>
      <c r="C33" s="13" t="s">
        <v>2332</v>
      </c>
      <c r="D33" s="161" t="s">
        <v>2333</v>
      </c>
      <c r="E33" s="134">
        <v>7173.61</v>
      </c>
    </row>
    <row r="34" spans="1:5" ht="15.75" customHeight="1">
      <c r="A34" s="177" t="s">
        <v>1267</v>
      </c>
      <c r="B34" s="12" t="s">
        <v>2340</v>
      </c>
      <c r="C34" s="13" t="s">
        <v>937</v>
      </c>
      <c r="D34" s="161" t="s">
        <v>2335</v>
      </c>
      <c r="E34" s="134">
        <v>69000</v>
      </c>
    </row>
    <row r="35" spans="1:5" ht="15.75" customHeight="1">
      <c r="A35" s="177" t="s">
        <v>1270</v>
      </c>
      <c r="B35" s="12" t="s">
        <v>2336</v>
      </c>
      <c r="C35" s="13" t="s">
        <v>378</v>
      </c>
      <c r="D35" s="161" t="s">
        <v>2337</v>
      </c>
      <c r="E35" s="134">
        <v>18261</v>
      </c>
    </row>
    <row r="36" spans="1:5" ht="15.75" customHeight="1">
      <c r="A36" s="105" t="s">
        <v>24</v>
      </c>
      <c r="B36" s="203"/>
      <c r="C36" s="204"/>
      <c r="D36" s="205"/>
      <c r="E36" s="49">
        <f>SUM(E12:E35)</f>
        <v>992372.35</v>
      </c>
    </row>
    <row r="37" spans="1:5" ht="15.75" customHeight="1">
      <c r="A37" s="212"/>
      <c r="B37" s="196"/>
      <c r="C37" s="196"/>
      <c r="D37" s="196"/>
      <c r="E37" s="196"/>
    </row>
    <row r="38" spans="1:5" ht="15.75" customHeight="1">
      <c r="A38" s="212" t="s">
        <v>2341</v>
      </c>
      <c r="B38" s="196"/>
      <c r="C38" s="196"/>
      <c r="D38" s="196"/>
      <c r="E38" s="27">
        <f>E36*8%</f>
        <v>79389.788</v>
      </c>
    </row>
    <row r="39" spans="1:5" ht="14.25" customHeight="1">
      <c r="A39" s="212" t="s">
        <v>25</v>
      </c>
      <c r="B39" s="196"/>
      <c r="C39" s="196"/>
      <c r="D39" s="196"/>
      <c r="E39" s="196"/>
    </row>
    <row r="40" spans="1:5" ht="35.25" customHeight="1">
      <c r="A40" s="212"/>
      <c r="B40" s="196"/>
      <c r="C40" s="196"/>
      <c r="D40" s="196"/>
      <c r="E40" s="196"/>
    </row>
    <row r="41" spans="1:5" ht="15.75" customHeight="1">
      <c r="A41" s="212" t="s">
        <v>26</v>
      </c>
      <c r="B41" s="196"/>
      <c r="C41" s="196"/>
      <c r="D41" s="196"/>
      <c r="E41" s="196"/>
    </row>
    <row r="42" spans="1:5" ht="15.75" customHeight="1">
      <c r="A42" s="212" t="s">
        <v>27</v>
      </c>
      <c r="B42" s="196"/>
      <c r="C42" s="196"/>
      <c r="D42" s="196"/>
      <c r="E42" s="196"/>
    </row>
    <row r="43" spans="1:5" ht="15.75" customHeight="1">
      <c r="A43" s="212" t="s">
        <v>28</v>
      </c>
      <c r="B43" s="196"/>
      <c r="C43" s="196"/>
      <c r="D43" s="196"/>
      <c r="E43" s="196"/>
    </row>
  </sheetData>
  <mergeCells count="18">
    <mergeCell ref="A43:E43"/>
    <mergeCell ref="A8:E8"/>
    <mergeCell ref="A9:E9"/>
    <mergeCell ref="A10:E10"/>
    <mergeCell ref="B36:D36"/>
    <mergeCell ref="A37:E37"/>
    <mergeCell ref="A38:D38"/>
    <mergeCell ref="A39:E39"/>
    <mergeCell ref="A6:E6"/>
    <mergeCell ref="A7:E7"/>
    <mergeCell ref="A40:E40"/>
    <mergeCell ref="A41:E41"/>
    <mergeCell ref="A42:E42"/>
    <mergeCell ref="A1:E1"/>
    <mergeCell ref="A2:E2"/>
    <mergeCell ref="A3:E3"/>
    <mergeCell ref="A4:E4"/>
    <mergeCell ref="A5:E5"/>
  </mergeCells>
  <conditionalFormatting sqref="E12:E35">
    <cfRule type="notContainsBlanks" dxfId="22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  <pageSetUpPr fitToPage="1"/>
  </sheetPr>
  <dimension ref="A1:E50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4.1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2342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79"/>
      <c r="B12" s="178" t="s">
        <v>2343</v>
      </c>
      <c r="C12" s="13" t="s">
        <v>629</v>
      </c>
      <c r="D12" s="161" t="s">
        <v>2344</v>
      </c>
      <c r="E12" s="134">
        <v>23000</v>
      </c>
    </row>
    <row r="13" spans="1:5" ht="15.75" customHeight="1">
      <c r="A13" s="106"/>
      <c r="B13" s="149" t="s">
        <v>2345</v>
      </c>
      <c r="C13" s="100" t="s">
        <v>2346</v>
      </c>
      <c r="D13" s="156" t="s">
        <v>2347</v>
      </c>
      <c r="E13" s="134">
        <v>48000</v>
      </c>
    </row>
    <row r="14" spans="1:5" ht="15.75" customHeight="1">
      <c r="A14" s="179"/>
      <c r="B14" s="178" t="s">
        <v>2348</v>
      </c>
      <c r="C14" s="13" t="s">
        <v>2349</v>
      </c>
      <c r="D14" s="161" t="s">
        <v>2350</v>
      </c>
      <c r="E14" s="134">
        <v>41132</v>
      </c>
    </row>
    <row r="15" spans="1:5" ht="15.75" customHeight="1">
      <c r="A15" s="179"/>
      <c r="B15" s="149" t="s">
        <v>2351</v>
      </c>
      <c r="C15" s="13" t="s">
        <v>783</v>
      </c>
      <c r="D15" s="161" t="s">
        <v>850</v>
      </c>
      <c r="E15" s="134">
        <v>34300</v>
      </c>
    </row>
    <row r="16" spans="1:5" ht="15.75" customHeight="1">
      <c r="A16" s="179"/>
      <c r="B16" s="178" t="s">
        <v>2262</v>
      </c>
      <c r="C16" s="13" t="s">
        <v>2263</v>
      </c>
      <c r="D16" s="161" t="s">
        <v>2352</v>
      </c>
      <c r="E16" s="134">
        <v>162500</v>
      </c>
    </row>
    <row r="17" spans="1:5" ht="15.75" customHeight="1">
      <c r="A17" s="179"/>
      <c r="B17" s="178" t="s">
        <v>2353</v>
      </c>
      <c r="C17" s="13" t="s">
        <v>2263</v>
      </c>
      <c r="D17" s="161" t="s">
        <v>2354</v>
      </c>
      <c r="E17" s="134">
        <v>57785</v>
      </c>
    </row>
    <row r="18" spans="1:5" ht="15.75" customHeight="1">
      <c r="A18" s="180"/>
      <c r="B18" s="24" t="s">
        <v>2355</v>
      </c>
      <c r="C18" s="13" t="s">
        <v>2356</v>
      </c>
      <c r="D18" s="161" t="s">
        <v>2357</v>
      </c>
      <c r="E18" s="14">
        <v>45870</v>
      </c>
    </row>
    <row r="19" spans="1:5" ht="15.75" customHeight="1">
      <c r="A19" s="179"/>
      <c r="B19" s="181" t="s">
        <v>2358</v>
      </c>
      <c r="C19" s="13" t="s">
        <v>2356</v>
      </c>
      <c r="D19" s="171" t="s">
        <v>2359</v>
      </c>
      <c r="E19" s="134">
        <v>356000</v>
      </c>
    </row>
    <row r="20" spans="1:5" ht="15.75" customHeight="1">
      <c r="A20" s="179"/>
      <c r="B20" s="149" t="s">
        <v>2360</v>
      </c>
      <c r="C20" s="13" t="s">
        <v>2361</v>
      </c>
      <c r="D20" s="172" t="s">
        <v>2362</v>
      </c>
      <c r="E20" s="134">
        <v>36820</v>
      </c>
    </row>
    <row r="21" spans="1:5" ht="15.75" customHeight="1">
      <c r="A21" s="179"/>
      <c r="B21" s="178" t="s">
        <v>2363</v>
      </c>
      <c r="C21" s="13" t="s">
        <v>2364</v>
      </c>
      <c r="D21" s="171" t="s">
        <v>2365</v>
      </c>
      <c r="E21" s="134">
        <v>49242.94</v>
      </c>
    </row>
    <row r="22" spans="1:5" ht="15.75" customHeight="1">
      <c r="A22" s="179"/>
      <c r="B22" s="12" t="s">
        <v>2366</v>
      </c>
      <c r="C22" s="13" t="s">
        <v>2364</v>
      </c>
      <c r="D22" s="171" t="s">
        <v>2367</v>
      </c>
      <c r="E22" s="134">
        <v>28424</v>
      </c>
    </row>
    <row r="23" spans="1:5" ht="15.75" customHeight="1">
      <c r="A23" s="179"/>
      <c r="B23" s="12" t="s">
        <v>2368</v>
      </c>
      <c r="C23" s="13" t="s">
        <v>1203</v>
      </c>
      <c r="D23" s="161" t="s">
        <v>2369</v>
      </c>
      <c r="E23" s="134">
        <v>77800</v>
      </c>
    </row>
    <row r="24" spans="1:5" ht="15.75" customHeight="1">
      <c r="A24" s="177"/>
      <c r="B24" s="12" t="s">
        <v>2370</v>
      </c>
      <c r="C24" s="13" t="s">
        <v>378</v>
      </c>
      <c r="D24" s="161" t="s">
        <v>2371</v>
      </c>
      <c r="E24" s="134">
        <v>14247</v>
      </c>
    </row>
    <row r="25" spans="1:5" ht="18" customHeight="1">
      <c r="A25" s="179"/>
      <c r="B25" s="182" t="s">
        <v>2372</v>
      </c>
      <c r="C25" s="13" t="s">
        <v>2349</v>
      </c>
      <c r="D25" s="171" t="s">
        <v>2373</v>
      </c>
      <c r="E25" s="134">
        <v>96700</v>
      </c>
    </row>
    <row r="26" spans="1:5" ht="15.75" customHeight="1">
      <c r="A26" s="179"/>
      <c r="B26" s="149" t="s">
        <v>2374</v>
      </c>
      <c r="C26" s="13" t="s">
        <v>378</v>
      </c>
      <c r="D26" s="161" t="s">
        <v>2375</v>
      </c>
      <c r="E26" s="134">
        <v>10327</v>
      </c>
    </row>
    <row r="27" spans="1:5" ht="15.75" customHeight="1">
      <c r="A27" s="179"/>
      <c r="B27" s="149" t="s">
        <v>2376</v>
      </c>
      <c r="C27" s="13" t="s">
        <v>1177</v>
      </c>
      <c r="D27" s="161" t="s">
        <v>2377</v>
      </c>
      <c r="E27" s="134">
        <v>105500</v>
      </c>
    </row>
    <row r="28" spans="1:5" ht="15.75" customHeight="1">
      <c r="A28" s="179"/>
      <c r="B28" s="181" t="s">
        <v>2378</v>
      </c>
      <c r="C28" s="100" t="s">
        <v>1780</v>
      </c>
      <c r="D28" s="171" t="s">
        <v>2379</v>
      </c>
      <c r="E28" s="134">
        <v>6500</v>
      </c>
    </row>
    <row r="29" spans="1:5" ht="15.75" customHeight="1">
      <c r="A29" s="179"/>
      <c r="B29" s="178" t="s">
        <v>2380</v>
      </c>
      <c r="C29" s="13" t="s">
        <v>378</v>
      </c>
      <c r="D29" s="171" t="s">
        <v>2381</v>
      </c>
      <c r="E29" s="134">
        <v>13750</v>
      </c>
    </row>
    <row r="30" spans="1:5" ht="15.75" customHeight="1">
      <c r="A30" s="179"/>
      <c r="B30" s="178" t="s">
        <v>2382</v>
      </c>
      <c r="C30" s="13" t="s">
        <v>1203</v>
      </c>
      <c r="D30" s="161" t="s">
        <v>2383</v>
      </c>
      <c r="E30" s="134">
        <v>15470</v>
      </c>
    </row>
    <row r="31" spans="1:5" ht="15.75" customHeight="1">
      <c r="A31" s="179"/>
      <c r="B31" s="149" t="s">
        <v>2384</v>
      </c>
      <c r="C31" s="13" t="s">
        <v>378</v>
      </c>
      <c r="D31" s="161" t="s">
        <v>2385</v>
      </c>
      <c r="E31" s="134">
        <v>5315.04</v>
      </c>
    </row>
    <row r="32" spans="1:5" ht="15.75" customHeight="1">
      <c r="A32" s="179"/>
      <c r="B32" s="12" t="s">
        <v>2386</v>
      </c>
      <c r="C32" s="13" t="s">
        <v>629</v>
      </c>
      <c r="D32" s="161" t="s">
        <v>2387</v>
      </c>
      <c r="E32" s="134">
        <v>23400</v>
      </c>
    </row>
    <row r="33" spans="1:5" ht="15.75" customHeight="1">
      <c r="A33" s="179"/>
      <c r="B33" s="149" t="s">
        <v>2388</v>
      </c>
      <c r="C33" s="13" t="s">
        <v>629</v>
      </c>
      <c r="D33" s="161" t="s">
        <v>2389</v>
      </c>
      <c r="E33" s="134">
        <v>5100</v>
      </c>
    </row>
    <row r="34" spans="1:5" ht="15.75" customHeight="1">
      <c r="A34" s="179"/>
      <c r="B34" s="149" t="s">
        <v>2390</v>
      </c>
      <c r="C34" s="13" t="s">
        <v>378</v>
      </c>
      <c r="D34" s="171" t="s">
        <v>2391</v>
      </c>
      <c r="E34" s="134">
        <v>35610</v>
      </c>
    </row>
    <row r="35" spans="1:5" ht="15.75" customHeight="1">
      <c r="A35" s="179"/>
      <c r="B35" s="149" t="s">
        <v>2392</v>
      </c>
      <c r="C35" s="13" t="s">
        <v>1728</v>
      </c>
      <c r="D35" s="161" t="s">
        <v>2393</v>
      </c>
      <c r="E35" s="134">
        <v>4198</v>
      </c>
    </row>
    <row r="36" spans="1:5" ht="15.75" customHeight="1">
      <c r="A36" s="179"/>
      <c r="B36" s="149" t="s">
        <v>2394</v>
      </c>
      <c r="C36" s="13" t="s">
        <v>1728</v>
      </c>
      <c r="D36" s="161" t="s">
        <v>2395</v>
      </c>
      <c r="E36" s="134">
        <v>13068</v>
      </c>
    </row>
    <row r="37" spans="1:5" ht="15.75" customHeight="1">
      <c r="A37" s="179"/>
      <c r="B37" s="178" t="s">
        <v>2396</v>
      </c>
      <c r="C37" s="13" t="s">
        <v>2397</v>
      </c>
      <c r="D37" s="171" t="s">
        <v>2398</v>
      </c>
      <c r="E37" s="134">
        <v>56015</v>
      </c>
    </row>
    <row r="38" spans="1:5" ht="15.75" customHeight="1">
      <c r="A38" s="179"/>
      <c r="B38" s="178" t="s">
        <v>2399</v>
      </c>
      <c r="C38" s="13" t="s">
        <v>1639</v>
      </c>
      <c r="D38" s="171" t="s">
        <v>2400</v>
      </c>
      <c r="E38" s="134">
        <v>78000</v>
      </c>
    </row>
    <row r="39" spans="1:5" ht="15.75" customHeight="1">
      <c r="A39" s="179"/>
      <c r="B39" s="12" t="s">
        <v>2401</v>
      </c>
      <c r="C39" s="13" t="s">
        <v>378</v>
      </c>
      <c r="D39" s="161" t="s">
        <v>2402</v>
      </c>
      <c r="E39" s="134">
        <v>172170</v>
      </c>
    </row>
    <row r="40" spans="1:5" ht="15.75" customHeight="1">
      <c r="A40" s="179"/>
      <c r="B40" s="12" t="s">
        <v>2403</v>
      </c>
      <c r="C40" s="13" t="s">
        <v>2404</v>
      </c>
      <c r="D40" s="172" t="s">
        <v>2405</v>
      </c>
      <c r="E40" s="134">
        <v>4578.16</v>
      </c>
    </row>
    <row r="41" spans="1:5" ht="15.75" customHeight="1">
      <c r="A41" s="179"/>
      <c r="B41" s="149" t="s">
        <v>2406</v>
      </c>
      <c r="C41" s="13" t="s">
        <v>2407</v>
      </c>
      <c r="D41" s="172" t="s">
        <v>2408</v>
      </c>
      <c r="E41" s="134">
        <v>7886</v>
      </c>
    </row>
    <row r="42" spans="1:5" ht="15.75" customHeight="1">
      <c r="A42" s="179"/>
      <c r="B42" s="149" t="s">
        <v>2409</v>
      </c>
      <c r="C42" s="13" t="s">
        <v>378</v>
      </c>
      <c r="D42" s="172" t="s">
        <v>2410</v>
      </c>
      <c r="E42" s="134">
        <v>122298</v>
      </c>
    </row>
    <row r="43" spans="1:5" ht="15.75" customHeight="1">
      <c r="A43" s="108" t="s">
        <v>24</v>
      </c>
      <c r="B43" s="203"/>
      <c r="C43" s="204"/>
      <c r="D43" s="205"/>
      <c r="E43" s="49">
        <f>SUM(E12:E42)</f>
        <v>1751006.14</v>
      </c>
    </row>
    <row r="44" spans="1:5" ht="15.75" customHeight="1">
      <c r="A44" s="211"/>
      <c r="B44" s="196"/>
      <c r="C44" s="196"/>
      <c r="D44" s="196"/>
      <c r="E44" s="196"/>
    </row>
    <row r="45" spans="1:5" ht="15.75" customHeight="1">
      <c r="A45" s="211" t="s">
        <v>2411</v>
      </c>
      <c r="B45" s="196"/>
      <c r="C45" s="196"/>
      <c r="D45" s="196"/>
      <c r="E45" s="27">
        <f>IF(E43&gt;=10000000,5000000*2%+5000000*1%+(E43-10000000)*0.5%,IF(E43&gt;=5000000,5000000*2%+(E43-5000000)*1%,E43*2%))</f>
        <v>35020.122799999997</v>
      </c>
    </row>
    <row r="46" spans="1:5" ht="14.25" customHeight="1">
      <c r="A46" s="211" t="s">
        <v>25</v>
      </c>
      <c r="B46" s="196"/>
      <c r="C46" s="196"/>
      <c r="D46" s="196"/>
      <c r="E46" s="196"/>
    </row>
    <row r="47" spans="1:5" ht="35.25" customHeight="1">
      <c r="A47" s="211"/>
      <c r="B47" s="196"/>
      <c r="C47" s="196"/>
      <c r="D47" s="196"/>
      <c r="E47" s="196"/>
    </row>
    <row r="48" spans="1:5" ht="15.75" customHeight="1">
      <c r="A48" s="211" t="s">
        <v>26</v>
      </c>
      <c r="B48" s="196"/>
      <c r="C48" s="196"/>
      <c r="D48" s="196"/>
      <c r="E48" s="196"/>
    </row>
    <row r="49" spans="1:5" ht="15.75" customHeight="1">
      <c r="A49" s="211" t="s">
        <v>27</v>
      </c>
      <c r="B49" s="196"/>
      <c r="C49" s="196"/>
      <c r="D49" s="196"/>
      <c r="E49" s="196"/>
    </row>
    <row r="50" spans="1:5" ht="15.75" customHeight="1">
      <c r="A50" s="211" t="s">
        <v>28</v>
      </c>
      <c r="B50" s="196"/>
      <c r="C50" s="196"/>
      <c r="D50" s="196"/>
      <c r="E50" s="196"/>
    </row>
  </sheetData>
  <mergeCells count="18">
    <mergeCell ref="A50:E50"/>
    <mergeCell ref="A8:E8"/>
    <mergeCell ref="A9:E9"/>
    <mergeCell ref="A10:E10"/>
    <mergeCell ref="B43:D43"/>
    <mergeCell ref="A44:E44"/>
    <mergeCell ref="A45:D45"/>
    <mergeCell ref="A46:E46"/>
    <mergeCell ref="A6:E6"/>
    <mergeCell ref="A7:E7"/>
    <mergeCell ref="A47:E47"/>
    <mergeCell ref="A48:E48"/>
    <mergeCell ref="A49:E49"/>
    <mergeCell ref="A1:E1"/>
    <mergeCell ref="A2:E2"/>
    <mergeCell ref="A3:E3"/>
    <mergeCell ref="A4:E4"/>
    <mergeCell ref="A5:E5"/>
  </mergeCells>
  <conditionalFormatting sqref="E12:E42">
    <cfRule type="notContainsBlanks" dxfId="21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  <pageSetUpPr fitToPage="1"/>
  </sheetPr>
  <dimension ref="A1:E50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4.1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2412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79"/>
      <c r="B12" s="178" t="s">
        <v>2343</v>
      </c>
      <c r="C12" s="13" t="s">
        <v>629</v>
      </c>
      <c r="D12" s="161" t="s">
        <v>2344</v>
      </c>
      <c r="E12" s="134">
        <v>23000</v>
      </c>
    </row>
    <row r="13" spans="1:5" ht="15.75" customHeight="1">
      <c r="A13" s="106"/>
      <c r="B13" s="149" t="s">
        <v>2345</v>
      </c>
      <c r="C13" s="100" t="s">
        <v>2346</v>
      </c>
      <c r="D13" s="156" t="s">
        <v>2347</v>
      </c>
      <c r="E13" s="134">
        <v>48000</v>
      </c>
    </row>
    <row r="14" spans="1:5" ht="15.75" customHeight="1">
      <c r="A14" s="179"/>
      <c r="B14" s="178" t="s">
        <v>2348</v>
      </c>
      <c r="C14" s="13" t="s">
        <v>2349</v>
      </c>
      <c r="D14" s="161" t="s">
        <v>2350</v>
      </c>
      <c r="E14" s="134">
        <v>41132</v>
      </c>
    </row>
    <row r="15" spans="1:5" ht="15.75" customHeight="1">
      <c r="A15" s="179"/>
      <c r="B15" s="149" t="s">
        <v>2351</v>
      </c>
      <c r="C15" s="13" t="s">
        <v>783</v>
      </c>
      <c r="D15" s="161" t="s">
        <v>850</v>
      </c>
      <c r="E15" s="134">
        <v>34300</v>
      </c>
    </row>
    <row r="16" spans="1:5" ht="15.75" customHeight="1">
      <c r="A16" s="179"/>
      <c r="B16" s="178" t="s">
        <v>2262</v>
      </c>
      <c r="C16" s="13" t="s">
        <v>2263</v>
      </c>
      <c r="D16" s="161" t="s">
        <v>2352</v>
      </c>
      <c r="E16" s="134">
        <v>162500</v>
      </c>
    </row>
    <row r="17" spans="1:5" ht="15.75" customHeight="1">
      <c r="A17" s="179"/>
      <c r="B17" s="178" t="s">
        <v>2353</v>
      </c>
      <c r="C17" s="13" t="s">
        <v>2263</v>
      </c>
      <c r="D17" s="161" t="s">
        <v>2354</v>
      </c>
      <c r="E17" s="134">
        <v>57785</v>
      </c>
    </row>
    <row r="18" spans="1:5" ht="15.75" customHeight="1">
      <c r="A18" s="180"/>
      <c r="B18" s="24" t="s">
        <v>2355</v>
      </c>
      <c r="C18" s="13" t="s">
        <v>2356</v>
      </c>
      <c r="D18" s="161" t="s">
        <v>2357</v>
      </c>
      <c r="E18" s="14">
        <v>45870</v>
      </c>
    </row>
    <row r="19" spans="1:5" ht="15.75" customHeight="1">
      <c r="A19" s="179"/>
      <c r="B19" s="181" t="s">
        <v>2358</v>
      </c>
      <c r="C19" s="13" t="s">
        <v>2356</v>
      </c>
      <c r="D19" s="171" t="s">
        <v>2359</v>
      </c>
      <c r="E19" s="134">
        <v>356000</v>
      </c>
    </row>
    <row r="20" spans="1:5" ht="15.75" customHeight="1">
      <c r="A20" s="179"/>
      <c r="B20" s="149" t="s">
        <v>2360</v>
      </c>
      <c r="C20" s="13" t="s">
        <v>2361</v>
      </c>
      <c r="D20" s="172" t="s">
        <v>2362</v>
      </c>
      <c r="E20" s="134">
        <v>36820</v>
      </c>
    </row>
    <row r="21" spans="1:5" ht="15.75" customHeight="1">
      <c r="A21" s="179"/>
      <c r="B21" s="178" t="s">
        <v>2363</v>
      </c>
      <c r="C21" s="13" t="s">
        <v>2364</v>
      </c>
      <c r="D21" s="171" t="s">
        <v>2365</v>
      </c>
      <c r="E21" s="134">
        <v>49242.94</v>
      </c>
    </row>
    <row r="22" spans="1:5" ht="15.75" customHeight="1">
      <c r="A22" s="179"/>
      <c r="B22" s="12" t="s">
        <v>2366</v>
      </c>
      <c r="C22" s="13" t="s">
        <v>2364</v>
      </c>
      <c r="D22" s="171" t="s">
        <v>2367</v>
      </c>
      <c r="E22" s="134">
        <v>28424</v>
      </c>
    </row>
    <row r="23" spans="1:5" ht="15.75" customHeight="1">
      <c r="A23" s="179"/>
      <c r="B23" s="12" t="s">
        <v>2368</v>
      </c>
      <c r="C23" s="13" t="s">
        <v>1203</v>
      </c>
      <c r="D23" s="161" t="s">
        <v>2369</v>
      </c>
      <c r="E23" s="134">
        <v>77800</v>
      </c>
    </row>
    <row r="24" spans="1:5" ht="15.75" customHeight="1">
      <c r="A24" s="177"/>
      <c r="B24" s="12" t="s">
        <v>2370</v>
      </c>
      <c r="C24" s="13" t="s">
        <v>378</v>
      </c>
      <c r="D24" s="161" t="s">
        <v>2371</v>
      </c>
      <c r="E24" s="134">
        <v>14247</v>
      </c>
    </row>
    <row r="25" spans="1:5" ht="18" customHeight="1">
      <c r="A25" s="179"/>
      <c r="B25" s="182" t="s">
        <v>2372</v>
      </c>
      <c r="C25" s="13" t="s">
        <v>2349</v>
      </c>
      <c r="D25" s="171" t="s">
        <v>2373</v>
      </c>
      <c r="E25" s="134">
        <v>96700</v>
      </c>
    </row>
    <row r="26" spans="1:5" ht="15.75" customHeight="1">
      <c r="A26" s="179"/>
      <c r="B26" s="149" t="s">
        <v>2374</v>
      </c>
      <c r="C26" s="13" t="s">
        <v>378</v>
      </c>
      <c r="D26" s="161" t="s">
        <v>2375</v>
      </c>
      <c r="E26" s="134">
        <v>10327</v>
      </c>
    </row>
    <row r="27" spans="1:5" ht="15.75" customHeight="1">
      <c r="A27" s="179"/>
      <c r="B27" s="149" t="s">
        <v>2376</v>
      </c>
      <c r="C27" s="13" t="s">
        <v>1177</v>
      </c>
      <c r="D27" s="161" t="s">
        <v>2377</v>
      </c>
      <c r="E27" s="134">
        <v>105500</v>
      </c>
    </row>
    <row r="28" spans="1:5" ht="15.75" customHeight="1">
      <c r="A28" s="179"/>
      <c r="B28" s="181" t="s">
        <v>2378</v>
      </c>
      <c r="C28" s="100" t="s">
        <v>1780</v>
      </c>
      <c r="D28" s="171" t="s">
        <v>2379</v>
      </c>
      <c r="E28" s="134">
        <v>6500</v>
      </c>
    </row>
    <row r="29" spans="1:5" ht="15.75" customHeight="1">
      <c r="A29" s="179"/>
      <c r="B29" s="178" t="s">
        <v>2380</v>
      </c>
      <c r="C29" s="13" t="s">
        <v>378</v>
      </c>
      <c r="D29" s="171" t="s">
        <v>2381</v>
      </c>
      <c r="E29" s="134">
        <v>13750</v>
      </c>
    </row>
    <row r="30" spans="1:5" ht="15.75" customHeight="1">
      <c r="A30" s="179"/>
      <c r="B30" s="178" t="s">
        <v>2382</v>
      </c>
      <c r="C30" s="13" t="s">
        <v>1203</v>
      </c>
      <c r="D30" s="161" t="s">
        <v>2383</v>
      </c>
      <c r="E30" s="134">
        <v>15470</v>
      </c>
    </row>
    <row r="31" spans="1:5" ht="15.75" customHeight="1">
      <c r="A31" s="179"/>
      <c r="B31" s="149" t="s">
        <v>2384</v>
      </c>
      <c r="C31" s="13" t="s">
        <v>378</v>
      </c>
      <c r="D31" s="161" t="s">
        <v>2385</v>
      </c>
      <c r="E31" s="134">
        <v>5315.04</v>
      </c>
    </row>
    <row r="32" spans="1:5" ht="15.75" customHeight="1">
      <c r="A32" s="179"/>
      <c r="B32" s="12" t="s">
        <v>2386</v>
      </c>
      <c r="C32" s="13" t="s">
        <v>629</v>
      </c>
      <c r="D32" s="161" t="s">
        <v>2387</v>
      </c>
      <c r="E32" s="134">
        <v>23400</v>
      </c>
    </row>
    <row r="33" spans="1:5" ht="15.75" customHeight="1">
      <c r="A33" s="179"/>
      <c r="B33" s="149" t="s">
        <v>2388</v>
      </c>
      <c r="C33" s="13" t="s">
        <v>629</v>
      </c>
      <c r="D33" s="161" t="s">
        <v>2389</v>
      </c>
      <c r="E33" s="134">
        <v>5100</v>
      </c>
    </row>
    <row r="34" spans="1:5" ht="15.75" customHeight="1">
      <c r="A34" s="179"/>
      <c r="B34" s="149" t="s">
        <v>2390</v>
      </c>
      <c r="C34" s="13" t="s">
        <v>378</v>
      </c>
      <c r="D34" s="171" t="s">
        <v>2391</v>
      </c>
      <c r="E34" s="134">
        <v>35610</v>
      </c>
    </row>
    <row r="35" spans="1:5" ht="15.75" customHeight="1">
      <c r="A35" s="179"/>
      <c r="B35" s="149" t="s">
        <v>2392</v>
      </c>
      <c r="C35" s="13" t="s">
        <v>1728</v>
      </c>
      <c r="D35" s="161" t="s">
        <v>2393</v>
      </c>
      <c r="E35" s="134">
        <v>4198</v>
      </c>
    </row>
    <row r="36" spans="1:5" ht="15.75" customHeight="1">
      <c r="A36" s="179"/>
      <c r="B36" s="149" t="s">
        <v>2394</v>
      </c>
      <c r="C36" s="13" t="s">
        <v>1728</v>
      </c>
      <c r="D36" s="161" t="s">
        <v>2395</v>
      </c>
      <c r="E36" s="134">
        <v>13068</v>
      </c>
    </row>
    <row r="37" spans="1:5" ht="15.75" customHeight="1">
      <c r="A37" s="179"/>
      <c r="B37" s="178" t="s">
        <v>2396</v>
      </c>
      <c r="C37" s="13" t="s">
        <v>2397</v>
      </c>
      <c r="D37" s="171" t="s">
        <v>2398</v>
      </c>
      <c r="E37" s="134">
        <v>56015</v>
      </c>
    </row>
    <row r="38" spans="1:5" ht="15.75" customHeight="1">
      <c r="A38" s="179"/>
      <c r="B38" s="178" t="s">
        <v>2399</v>
      </c>
      <c r="C38" s="13" t="s">
        <v>1639</v>
      </c>
      <c r="D38" s="171" t="s">
        <v>2400</v>
      </c>
      <c r="E38" s="134">
        <v>78000</v>
      </c>
    </row>
    <row r="39" spans="1:5" ht="15.75" customHeight="1">
      <c r="A39" s="179"/>
      <c r="B39" s="12" t="s">
        <v>2401</v>
      </c>
      <c r="C39" s="13" t="s">
        <v>378</v>
      </c>
      <c r="D39" s="161" t="s">
        <v>2402</v>
      </c>
      <c r="E39" s="134">
        <v>172170</v>
      </c>
    </row>
    <row r="40" spans="1:5" ht="15.75" customHeight="1">
      <c r="A40" s="179"/>
      <c r="B40" s="12" t="s">
        <v>2403</v>
      </c>
      <c r="C40" s="13" t="s">
        <v>2404</v>
      </c>
      <c r="D40" s="172" t="s">
        <v>2405</v>
      </c>
      <c r="E40" s="134">
        <v>4578.16</v>
      </c>
    </row>
    <row r="41" spans="1:5" ht="15.75" customHeight="1">
      <c r="A41" s="179"/>
      <c r="B41" s="149" t="s">
        <v>2406</v>
      </c>
      <c r="C41" s="13" t="s">
        <v>2407</v>
      </c>
      <c r="D41" s="172" t="s">
        <v>2408</v>
      </c>
      <c r="E41" s="134">
        <v>7886</v>
      </c>
    </row>
    <row r="42" spans="1:5" ht="15.75" customHeight="1">
      <c r="A42" s="179"/>
      <c r="B42" s="149" t="s">
        <v>2409</v>
      </c>
      <c r="C42" s="13" t="s">
        <v>378</v>
      </c>
      <c r="D42" s="172" t="s">
        <v>2410</v>
      </c>
      <c r="E42" s="134">
        <v>122298</v>
      </c>
    </row>
    <row r="43" spans="1:5" ht="15.75" customHeight="1">
      <c r="A43" s="108" t="s">
        <v>24</v>
      </c>
      <c r="B43" s="203"/>
      <c r="C43" s="204"/>
      <c r="D43" s="205"/>
      <c r="E43" s="49">
        <f>SUM(E12:E42)</f>
        <v>1751006.14</v>
      </c>
    </row>
    <row r="44" spans="1:5" ht="15.75" customHeight="1">
      <c r="A44" s="211"/>
      <c r="B44" s="196"/>
      <c r="C44" s="196"/>
      <c r="D44" s="196"/>
      <c r="E44" s="196"/>
    </row>
    <row r="45" spans="1:5" ht="15.75" customHeight="1">
      <c r="A45" s="211" t="s">
        <v>2413</v>
      </c>
      <c r="B45" s="196"/>
      <c r="C45" s="196"/>
      <c r="D45" s="196"/>
      <c r="E45" s="27">
        <f>E43*8%</f>
        <v>140080.49119999999</v>
      </c>
    </row>
    <row r="46" spans="1:5" ht="14.25" customHeight="1">
      <c r="A46" s="211" t="s">
        <v>25</v>
      </c>
      <c r="B46" s="196"/>
      <c r="C46" s="196"/>
      <c r="D46" s="196"/>
      <c r="E46" s="196"/>
    </row>
    <row r="47" spans="1:5" ht="35.25" customHeight="1">
      <c r="A47" s="211"/>
      <c r="B47" s="196"/>
      <c r="C47" s="196"/>
      <c r="D47" s="196"/>
      <c r="E47" s="196"/>
    </row>
    <row r="48" spans="1:5" ht="15.75" customHeight="1">
      <c r="A48" s="211" t="s">
        <v>26</v>
      </c>
      <c r="B48" s="196"/>
      <c r="C48" s="196"/>
      <c r="D48" s="196"/>
      <c r="E48" s="196"/>
    </row>
    <row r="49" spans="1:5" ht="15.75" customHeight="1">
      <c r="A49" s="211" t="s">
        <v>27</v>
      </c>
      <c r="B49" s="196"/>
      <c r="C49" s="196"/>
      <c r="D49" s="196"/>
      <c r="E49" s="196"/>
    </row>
    <row r="50" spans="1:5" ht="15.75" customHeight="1">
      <c r="A50" s="211" t="s">
        <v>28</v>
      </c>
      <c r="B50" s="196"/>
      <c r="C50" s="196"/>
      <c r="D50" s="196"/>
      <c r="E50" s="196"/>
    </row>
  </sheetData>
  <mergeCells count="18">
    <mergeCell ref="A50:E50"/>
    <mergeCell ref="A8:E8"/>
    <mergeCell ref="A9:E9"/>
    <mergeCell ref="A10:E10"/>
    <mergeCell ref="B43:D43"/>
    <mergeCell ref="A44:E44"/>
    <mergeCell ref="A45:D45"/>
    <mergeCell ref="A46:E46"/>
    <mergeCell ref="A6:E6"/>
    <mergeCell ref="A7:E7"/>
    <mergeCell ref="A47:E47"/>
    <mergeCell ref="A48:E48"/>
    <mergeCell ref="A49:E49"/>
    <mergeCell ref="A1:E1"/>
    <mergeCell ref="A2:E2"/>
    <mergeCell ref="A3:E3"/>
    <mergeCell ref="A4:E4"/>
    <mergeCell ref="A5:E5"/>
  </mergeCells>
  <conditionalFormatting sqref="E12:E42">
    <cfRule type="notContainsBlanks" dxfId="20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  <pageSetUpPr fitToPage="1"/>
  </sheetPr>
  <dimension ref="A1:E30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4.1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2414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83" t="s">
        <v>1209</v>
      </c>
      <c r="B12" s="184" t="s">
        <v>2415</v>
      </c>
      <c r="C12" s="185" t="s">
        <v>1728</v>
      </c>
      <c r="D12" s="186" t="s">
        <v>2416</v>
      </c>
      <c r="E12" s="187">
        <v>21204</v>
      </c>
    </row>
    <row r="13" spans="1:5" ht="15.75" customHeight="1">
      <c r="A13" s="183" t="s">
        <v>1212</v>
      </c>
      <c r="B13" s="188" t="s">
        <v>2417</v>
      </c>
      <c r="C13" s="185" t="s">
        <v>2349</v>
      </c>
      <c r="D13" s="189" t="s">
        <v>2418</v>
      </c>
      <c r="E13" s="187">
        <v>11012</v>
      </c>
    </row>
    <row r="14" spans="1:5" ht="15.75" customHeight="1">
      <c r="A14" s="183" t="s">
        <v>1215</v>
      </c>
      <c r="B14" s="188" t="s">
        <v>2419</v>
      </c>
      <c r="C14" s="185" t="s">
        <v>378</v>
      </c>
      <c r="D14" s="190" t="s">
        <v>2420</v>
      </c>
      <c r="E14" s="187">
        <v>31250</v>
      </c>
    </row>
    <row r="15" spans="1:5" ht="15.75" customHeight="1">
      <c r="A15" s="183" t="s">
        <v>1217</v>
      </c>
      <c r="B15" s="188" t="s">
        <v>2421</v>
      </c>
      <c r="C15" s="185" t="s">
        <v>56</v>
      </c>
      <c r="D15" s="190" t="s">
        <v>1209</v>
      </c>
      <c r="E15" s="187">
        <v>27000</v>
      </c>
    </row>
    <row r="16" spans="1:5" ht="15.75" customHeight="1">
      <c r="A16" s="183" t="s">
        <v>1221</v>
      </c>
      <c r="B16" s="188" t="s">
        <v>2422</v>
      </c>
      <c r="C16" s="185" t="s">
        <v>378</v>
      </c>
      <c r="D16" s="189" t="s">
        <v>2423</v>
      </c>
      <c r="E16" s="187">
        <v>24780</v>
      </c>
    </row>
    <row r="17" spans="1:5" ht="15.75" customHeight="1">
      <c r="A17" s="183" t="s">
        <v>1224</v>
      </c>
      <c r="B17" s="188" t="s">
        <v>2424</v>
      </c>
      <c r="C17" s="185" t="s">
        <v>378</v>
      </c>
      <c r="D17" s="189" t="s">
        <v>2425</v>
      </c>
      <c r="E17" s="187">
        <v>818</v>
      </c>
    </row>
    <row r="18" spans="1:5" ht="15.75" customHeight="1">
      <c r="A18" s="183" t="s">
        <v>1226</v>
      </c>
      <c r="B18" s="188" t="s">
        <v>2426</v>
      </c>
      <c r="C18" s="185" t="s">
        <v>1728</v>
      </c>
      <c r="D18" s="189" t="s">
        <v>2427</v>
      </c>
      <c r="E18" s="187">
        <v>11900</v>
      </c>
    </row>
    <row r="19" spans="1:5" ht="15.75" customHeight="1">
      <c r="A19" s="183" t="s">
        <v>1228</v>
      </c>
      <c r="B19" s="188" t="s">
        <v>2428</v>
      </c>
      <c r="C19" s="185" t="s">
        <v>1728</v>
      </c>
      <c r="D19" s="189" t="s">
        <v>2429</v>
      </c>
      <c r="E19" s="187">
        <v>22307</v>
      </c>
    </row>
    <row r="20" spans="1:5" ht="15.75" customHeight="1">
      <c r="A20" s="183" t="s">
        <v>1230</v>
      </c>
      <c r="B20" s="188" t="s">
        <v>2430</v>
      </c>
      <c r="C20" s="185" t="s">
        <v>2349</v>
      </c>
      <c r="D20" s="189" t="s">
        <v>2431</v>
      </c>
      <c r="E20" s="187">
        <v>19513</v>
      </c>
    </row>
    <row r="21" spans="1:5" ht="15.75" customHeight="1">
      <c r="A21" s="183" t="s">
        <v>1232</v>
      </c>
      <c r="B21" s="188" t="s">
        <v>888</v>
      </c>
      <c r="C21" s="185" t="s">
        <v>378</v>
      </c>
      <c r="D21" s="189" t="s">
        <v>2432</v>
      </c>
      <c r="E21" s="187">
        <v>8750</v>
      </c>
    </row>
    <row r="22" spans="1:5" ht="15.75" customHeight="1">
      <c r="A22" s="183" t="s">
        <v>1234</v>
      </c>
      <c r="B22" s="188" t="s">
        <v>2433</v>
      </c>
      <c r="C22" s="185" t="s">
        <v>71</v>
      </c>
      <c r="D22" s="189" t="s">
        <v>2434</v>
      </c>
      <c r="E22" s="187">
        <v>13050</v>
      </c>
    </row>
    <row r="23" spans="1:5" ht="15.75" customHeight="1">
      <c r="A23" s="108" t="s">
        <v>24</v>
      </c>
      <c r="B23" s="203"/>
      <c r="C23" s="204"/>
      <c r="D23" s="205"/>
      <c r="E23" s="49">
        <f>SUM(E12:E22)</f>
        <v>191584</v>
      </c>
    </row>
    <row r="24" spans="1:5" ht="15.75" customHeight="1">
      <c r="A24" s="211"/>
      <c r="B24" s="196"/>
      <c r="C24" s="196"/>
      <c r="D24" s="196"/>
      <c r="E24" s="196"/>
    </row>
    <row r="25" spans="1:5" ht="15.75" customHeight="1">
      <c r="A25" s="211" t="s">
        <v>2435</v>
      </c>
      <c r="B25" s="196"/>
      <c r="C25" s="196"/>
      <c r="D25" s="196"/>
      <c r="E25" s="27">
        <f>IF(E23&gt;=10000000,5000000*2%+5000000*1%+(E23-10000000)*0.5%,IF(E23&gt;=5000000,5000000*2%+(E23-5000000)*1%,E23*2%))</f>
        <v>3831.6800000000003</v>
      </c>
    </row>
    <row r="26" spans="1:5" ht="14.25" customHeight="1">
      <c r="A26" s="211" t="s">
        <v>25</v>
      </c>
      <c r="B26" s="196"/>
      <c r="C26" s="196"/>
      <c r="D26" s="196"/>
      <c r="E26" s="196"/>
    </row>
    <row r="27" spans="1:5" ht="35.25" customHeight="1">
      <c r="A27" s="211"/>
      <c r="B27" s="196"/>
      <c r="C27" s="196"/>
      <c r="D27" s="196"/>
      <c r="E27" s="196"/>
    </row>
    <row r="28" spans="1:5" ht="15.75" customHeight="1">
      <c r="A28" s="211" t="s">
        <v>26</v>
      </c>
      <c r="B28" s="196"/>
      <c r="C28" s="196"/>
      <c r="D28" s="196"/>
      <c r="E28" s="196"/>
    </row>
    <row r="29" spans="1:5" ht="15.75" customHeight="1">
      <c r="A29" s="211" t="s">
        <v>27</v>
      </c>
      <c r="B29" s="196"/>
      <c r="C29" s="196"/>
      <c r="D29" s="196"/>
      <c r="E29" s="196"/>
    </row>
    <row r="30" spans="1:5" ht="15.75" customHeight="1">
      <c r="A30" s="211" t="s">
        <v>28</v>
      </c>
      <c r="B30" s="196"/>
      <c r="C30" s="196"/>
      <c r="D30" s="196"/>
      <c r="E30" s="196"/>
    </row>
  </sheetData>
  <mergeCells count="18">
    <mergeCell ref="A30:E30"/>
    <mergeCell ref="A8:E8"/>
    <mergeCell ref="A9:E9"/>
    <mergeCell ref="A10:E10"/>
    <mergeCell ref="B23:D23"/>
    <mergeCell ref="A24:E24"/>
    <mergeCell ref="A25:D25"/>
    <mergeCell ref="A26:E26"/>
    <mergeCell ref="A6:E6"/>
    <mergeCell ref="A7:E7"/>
    <mergeCell ref="A27:E27"/>
    <mergeCell ref="A28:E28"/>
    <mergeCell ref="A29:E29"/>
    <mergeCell ref="A1:E1"/>
    <mergeCell ref="A2:E2"/>
    <mergeCell ref="A3:E3"/>
    <mergeCell ref="A4:E4"/>
    <mergeCell ref="A5:E5"/>
  </mergeCells>
  <conditionalFormatting sqref="E12:E22">
    <cfRule type="notContainsBlanks" dxfId="19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  <pageSetUpPr fitToPage="1"/>
  </sheetPr>
  <dimension ref="A1:E30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4.1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2436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83" t="s">
        <v>1209</v>
      </c>
      <c r="B12" s="184" t="s">
        <v>2415</v>
      </c>
      <c r="C12" s="185" t="s">
        <v>1728</v>
      </c>
      <c r="D12" s="186" t="s">
        <v>2416</v>
      </c>
      <c r="E12" s="187">
        <v>21204</v>
      </c>
    </row>
    <row r="13" spans="1:5" ht="15.75" customHeight="1">
      <c r="A13" s="183" t="s">
        <v>1212</v>
      </c>
      <c r="B13" s="188" t="s">
        <v>2417</v>
      </c>
      <c r="C13" s="185" t="s">
        <v>2349</v>
      </c>
      <c r="D13" s="189" t="s">
        <v>2418</v>
      </c>
      <c r="E13" s="187">
        <v>11012</v>
      </c>
    </row>
    <row r="14" spans="1:5" ht="15.75" customHeight="1">
      <c r="A14" s="183" t="s">
        <v>1215</v>
      </c>
      <c r="B14" s="188" t="s">
        <v>2419</v>
      </c>
      <c r="C14" s="185" t="s">
        <v>378</v>
      </c>
      <c r="D14" s="190" t="s">
        <v>2420</v>
      </c>
      <c r="E14" s="187">
        <v>31250</v>
      </c>
    </row>
    <row r="15" spans="1:5" ht="15.75" customHeight="1">
      <c r="A15" s="183" t="s">
        <v>1217</v>
      </c>
      <c r="B15" s="188" t="s">
        <v>2421</v>
      </c>
      <c r="C15" s="185" t="s">
        <v>56</v>
      </c>
      <c r="D15" s="190" t="s">
        <v>1209</v>
      </c>
      <c r="E15" s="187">
        <v>27000</v>
      </c>
    </row>
    <row r="16" spans="1:5" ht="15.75" customHeight="1">
      <c r="A16" s="183" t="s">
        <v>1221</v>
      </c>
      <c r="B16" s="188" t="s">
        <v>2422</v>
      </c>
      <c r="C16" s="185" t="s">
        <v>378</v>
      </c>
      <c r="D16" s="189" t="s">
        <v>2423</v>
      </c>
      <c r="E16" s="187">
        <v>24780</v>
      </c>
    </row>
    <row r="17" spans="1:5" ht="15.75" customHeight="1">
      <c r="A17" s="183" t="s">
        <v>1224</v>
      </c>
      <c r="B17" s="188" t="s">
        <v>2424</v>
      </c>
      <c r="C17" s="185" t="s">
        <v>378</v>
      </c>
      <c r="D17" s="189" t="s">
        <v>2425</v>
      </c>
      <c r="E17" s="187">
        <v>818</v>
      </c>
    </row>
    <row r="18" spans="1:5" ht="15.75" customHeight="1">
      <c r="A18" s="183" t="s">
        <v>1226</v>
      </c>
      <c r="B18" s="188" t="s">
        <v>2426</v>
      </c>
      <c r="C18" s="185" t="s">
        <v>1728</v>
      </c>
      <c r="D18" s="189" t="s">
        <v>2427</v>
      </c>
      <c r="E18" s="187">
        <v>11900</v>
      </c>
    </row>
    <row r="19" spans="1:5" ht="15.75" customHeight="1">
      <c r="A19" s="183" t="s">
        <v>1228</v>
      </c>
      <c r="B19" s="188" t="s">
        <v>2428</v>
      </c>
      <c r="C19" s="185" t="s">
        <v>1728</v>
      </c>
      <c r="D19" s="189" t="s">
        <v>2429</v>
      </c>
      <c r="E19" s="187">
        <v>22307</v>
      </c>
    </row>
    <row r="20" spans="1:5" ht="15.75" customHeight="1">
      <c r="A20" s="183" t="s">
        <v>1230</v>
      </c>
      <c r="B20" s="188" t="s">
        <v>2430</v>
      </c>
      <c r="C20" s="185" t="s">
        <v>2349</v>
      </c>
      <c r="D20" s="189" t="s">
        <v>2431</v>
      </c>
      <c r="E20" s="187">
        <v>19513</v>
      </c>
    </row>
    <row r="21" spans="1:5" ht="15.75" customHeight="1">
      <c r="A21" s="183" t="s">
        <v>1232</v>
      </c>
      <c r="B21" s="188" t="s">
        <v>888</v>
      </c>
      <c r="C21" s="185" t="s">
        <v>378</v>
      </c>
      <c r="D21" s="189" t="s">
        <v>2432</v>
      </c>
      <c r="E21" s="187">
        <v>8750</v>
      </c>
    </row>
    <row r="22" spans="1:5" ht="15.75" customHeight="1">
      <c r="A22" s="183" t="s">
        <v>1234</v>
      </c>
      <c r="B22" s="188" t="s">
        <v>2433</v>
      </c>
      <c r="C22" s="185" t="s">
        <v>71</v>
      </c>
      <c r="D22" s="189" t="s">
        <v>2434</v>
      </c>
      <c r="E22" s="187">
        <v>13050</v>
      </c>
    </row>
    <row r="23" spans="1:5" ht="15.75" customHeight="1">
      <c r="A23" s="108" t="s">
        <v>24</v>
      </c>
      <c r="B23" s="203"/>
      <c r="C23" s="204"/>
      <c r="D23" s="205"/>
      <c r="E23" s="49">
        <f>SUM(E12:E22)</f>
        <v>191584</v>
      </c>
    </row>
    <row r="24" spans="1:5" ht="15.75" customHeight="1">
      <c r="A24" s="211"/>
      <c r="B24" s="196"/>
      <c r="C24" s="196"/>
      <c r="D24" s="196"/>
      <c r="E24" s="196"/>
    </row>
    <row r="25" spans="1:5" ht="15.75" customHeight="1">
      <c r="A25" s="211" t="s">
        <v>2437</v>
      </c>
      <c r="B25" s="196"/>
      <c r="C25" s="196"/>
      <c r="D25" s="196"/>
      <c r="E25" s="27">
        <f>IF(E23&gt;=10000000,5000000*2%+5000000*1%+(E23-10000000)*0.5%,IF(E23&gt;=5000000,5000000*2%+(E23-5000000)*1%,E23*2%))</f>
        <v>3831.6800000000003</v>
      </c>
    </row>
    <row r="26" spans="1:5" ht="14.25" customHeight="1">
      <c r="A26" s="211" t="s">
        <v>25</v>
      </c>
      <c r="B26" s="196"/>
      <c r="C26" s="196"/>
      <c r="D26" s="196"/>
      <c r="E26" s="196"/>
    </row>
    <row r="27" spans="1:5" ht="35.25" customHeight="1">
      <c r="A27" s="211"/>
      <c r="B27" s="196"/>
      <c r="C27" s="196"/>
      <c r="D27" s="196"/>
      <c r="E27" s="196"/>
    </row>
    <row r="28" spans="1:5" ht="15.75" customHeight="1">
      <c r="A28" s="211" t="s">
        <v>26</v>
      </c>
      <c r="B28" s="196"/>
      <c r="C28" s="196"/>
      <c r="D28" s="196"/>
      <c r="E28" s="196"/>
    </row>
    <row r="29" spans="1:5" ht="15.75" customHeight="1">
      <c r="A29" s="211" t="s">
        <v>27</v>
      </c>
      <c r="B29" s="196"/>
      <c r="C29" s="196"/>
      <c r="D29" s="196"/>
      <c r="E29" s="196"/>
    </row>
    <row r="30" spans="1:5" ht="15.75" customHeight="1">
      <c r="A30" s="211" t="s">
        <v>28</v>
      </c>
      <c r="B30" s="196"/>
      <c r="C30" s="196"/>
      <c r="D30" s="196"/>
      <c r="E30" s="196"/>
    </row>
  </sheetData>
  <mergeCells count="18">
    <mergeCell ref="A30:E30"/>
    <mergeCell ref="A8:E8"/>
    <mergeCell ref="A9:E9"/>
    <mergeCell ref="A10:E10"/>
    <mergeCell ref="B23:D23"/>
    <mergeCell ref="A24:E24"/>
    <mergeCell ref="A25:D25"/>
    <mergeCell ref="A26:E26"/>
    <mergeCell ref="A6:E6"/>
    <mergeCell ref="A7:E7"/>
    <mergeCell ref="A27:E27"/>
    <mergeCell ref="A28:E28"/>
    <mergeCell ref="A29:E29"/>
    <mergeCell ref="A1:E1"/>
    <mergeCell ref="A2:E2"/>
    <mergeCell ref="A3:E3"/>
    <mergeCell ref="A4:E4"/>
    <mergeCell ref="A5:E5"/>
  </mergeCells>
  <conditionalFormatting sqref="E12:E22">
    <cfRule type="notContainsBlanks" dxfId="18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  <pageSetUpPr fitToPage="1"/>
  </sheetPr>
  <dimension ref="A1:E46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4.1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2438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77" t="s">
        <v>1209</v>
      </c>
      <c r="B12" s="149" t="s">
        <v>2439</v>
      </c>
      <c r="C12" s="13" t="s">
        <v>1203</v>
      </c>
      <c r="D12" s="161" t="s">
        <v>2440</v>
      </c>
      <c r="E12" s="134">
        <v>96000</v>
      </c>
    </row>
    <row r="13" spans="1:5" ht="15.75" customHeight="1">
      <c r="A13" s="177" t="s">
        <v>1212</v>
      </c>
      <c r="B13" s="149" t="s">
        <v>2441</v>
      </c>
      <c r="C13" s="13" t="s">
        <v>1203</v>
      </c>
      <c r="D13" s="172" t="s">
        <v>2442</v>
      </c>
      <c r="E13" s="134">
        <v>13650</v>
      </c>
    </row>
    <row r="14" spans="1:5" ht="15.75" customHeight="1">
      <c r="A14" s="177" t="s">
        <v>1215</v>
      </c>
      <c r="B14" s="149" t="s">
        <v>2428</v>
      </c>
      <c r="C14" s="13" t="s">
        <v>1728</v>
      </c>
      <c r="D14" s="172" t="s">
        <v>2429</v>
      </c>
      <c r="E14" s="134">
        <v>22307</v>
      </c>
    </row>
    <row r="15" spans="1:5" ht="15.75" customHeight="1">
      <c r="A15" s="177" t="s">
        <v>1217</v>
      </c>
      <c r="B15" s="149" t="s">
        <v>2443</v>
      </c>
      <c r="C15" s="13" t="s">
        <v>1150</v>
      </c>
      <c r="D15" s="172" t="s">
        <v>2444</v>
      </c>
      <c r="E15" s="134">
        <v>15159</v>
      </c>
    </row>
    <row r="16" spans="1:5" ht="15.75" customHeight="1">
      <c r="A16" s="177" t="s">
        <v>1221</v>
      </c>
      <c r="B16" s="191" t="s">
        <v>2445</v>
      </c>
      <c r="C16" s="13" t="s">
        <v>546</v>
      </c>
      <c r="D16" s="161" t="s">
        <v>2446</v>
      </c>
      <c r="E16" s="134">
        <v>15186</v>
      </c>
    </row>
    <row r="17" spans="1:5" ht="15.75" customHeight="1">
      <c r="A17" s="177" t="s">
        <v>1224</v>
      </c>
      <c r="B17" s="149" t="s">
        <v>2447</v>
      </c>
      <c r="C17" s="13" t="s">
        <v>546</v>
      </c>
      <c r="D17" s="172" t="s">
        <v>2448</v>
      </c>
      <c r="E17" s="134">
        <v>30372</v>
      </c>
    </row>
    <row r="18" spans="1:5" ht="15.75" customHeight="1">
      <c r="A18" s="177" t="s">
        <v>1226</v>
      </c>
      <c r="B18" s="149" t="s">
        <v>2449</v>
      </c>
      <c r="C18" s="13" t="s">
        <v>2450</v>
      </c>
      <c r="D18" s="172" t="s">
        <v>2451</v>
      </c>
      <c r="E18" s="134">
        <v>150000</v>
      </c>
    </row>
    <row r="19" spans="1:5" ht="15.75" customHeight="1">
      <c r="A19" s="177" t="s">
        <v>1228</v>
      </c>
      <c r="B19" s="149" t="s">
        <v>2452</v>
      </c>
      <c r="C19" s="13" t="s">
        <v>1992</v>
      </c>
      <c r="D19" s="172" t="s">
        <v>2453</v>
      </c>
      <c r="E19" s="134">
        <v>9090</v>
      </c>
    </row>
    <row r="20" spans="1:5" ht="15.75" customHeight="1">
      <c r="A20" s="177" t="s">
        <v>1230</v>
      </c>
      <c r="B20" s="149" t="s">
        <v>2454</v>
      </c>
      <c r="C20" s="100" t="s">
        <v>2349</v>
      </c>
      <c r="D20" s="172" t="s">
        <v>2455</v>
      </c>
      <c r="E20" s="134">
        <v>7908</v>
      </c>
    </row>
    <row r="21" spans="1:5" ht="15.75" customHeight="1">
      <c r="A21" s="177" t="s">
        <v>1232</v>
      </c>
      <c r="B21" s="12" t="s">
        <v>2456</v>
      </c>
      <c r="C21" s="13" t="s">
        <v>2457</v>
      </c>
      <c r="D21" s="172" t="s">
        <v>2458</v>
      </c>
      <c r="E21" s="134">
        <v>2854397</v>
      </c>
    </row>
    <row r="22" spans="1:5" ht="15.75" customHeight="1">
      <c r="A22" s="177" t="s">
        <v>1234</v>
      </c>
      <c r="B22" s="12" t="s">
        <v>2459</v>
      </c>
      <c r="C22" s="13" t="s">
        <v>2457</v>
      </c>
      <c r="D22" s="172" t="s">
        <v>2460</v>
      </c>
      <c r="E22" s="134">
        <v>433131.6</v>
      </c>
    </row>
    <row r="23" spans="1:5" ht="15.75" customHeight="1">
      <c r="A23" s="177" t="s">
        <v>1236</v>
      </c>
      <c r="B23" s="149" t="s">
        <v>2461</v>
      </c>
      <c r="C23" s="13" t="s">
        <v>2462</v>
      </c>
      <c r="D23" s="172" t="s">
        <v>2463</v>
      </c>
      <c r="E23" s="134">
        <v>7593246.5599999996</v>
      </c>
    </row>
    <row r="24" spans="1:5" ht="15.75" customHeight="1">
      <c r="A24" s="177" t="s">
        <v>1240</v>
      </c>
      <c r="B24" s="149" t="s">
        <v>2464</v>
      </c>
      <c r="C24" s="13" t="s">
        <v>2465</v>
      </c>
      <c r="D24" s="172" t="s">
        <v>1212</v>
      </c>
      <c r="E24" s="134">
        <v>28000</v>
      </c>
    </row>
    <row r="25" spans="1:5" ht="15.75" customHeight="1">
      <c r="A25" s="177" t="s">
        <v>1242</v>
      </c>
      <c r="B25" s="178" t="s">
        <v>2415</v>
      </c>
      <c r="C25" s="13" t="s">
        <v>1728</v>
      </c>
      <c r="D25" s="171" t="s">
        <v>2416</v>
      </c>
      <c r="E25" s="134">
        <v>21204</v>
      </c>
    </row>
    <row r="26" spans="1:5" ht="15.75" customHeight="1">
      <c r="A26" s="177" t="s">
        <v>1245</v>
      </c>
      <c r="B26" s="149" t="s">
        <v>2417</v>
      </c>
      <c r="C26" s="13" t="s">
        <v>2349</v>
      </c>
      <c r="D26" s="172" t="s">
        <v>2418</v>
      </c>
      <c r="E26" s="134">
        <v>11012</v>
      </c>
    </row>
    <row r="27" spans="1:5" ht="15.75" customHeight="1">
      <c r="A27" s="177" t="s">
        <v>1247</v>
      </c>
      <c r="B27" s="149" t="s">
        <v>2419</v>
      </c>
      <c r="C27" s="13" t="s">
        <v>378</v>
      </c>
      <c r="D27" s="161" t="s">
        <v>2420</v>
      </c>
      <c r="E27" s="134">
        <v>31250</v>
      </c>
    </row>
    <row r="28" spans="1:5" ht="15.75" customHeight="1">
      <c r="A28" s="177" t="s">
        <v>1249</v>
      </c>
      <c r="B28" s="149" t="s">
        <v>2421</v>
      </c>
      <c r="C28" s="13" t="s">
        <v>56</v>
      </c>
      <c r="D28" s="161" t="s">
        <v>1209</v>
      </c>
      <c r="E28" s="134">
        <v>27000</v>
      </c>
    </row>
    <row r="29" spans="1:5" ht="15.75" customHeight="1">
      <c r="A29" s="177" t="s">
        <v>1252</v>
      </c>
      <c r="B29" s="149" t="s">
        <v>2422</v>
      </c>
      <c r="C29" s="13" t="s">
        <v>378</v>
      </c>
      <c r="D29" s="172" t="s">
        <v>2423</v>
      </c>
      <c r="E29" s="134">
        <v>24780</v>
      </c>
    </row>
    <row r="30" spans="1:5" ht="15.75" customHeight="1">
      <c r="A30" s="177" t="s">
        <v>1255</v>
      </c>
      <c r="B30" s="149" t="s">
        <v>2424</v>
      </c>
      <c r="C30" s="13" t="s">
        <v>378</v>
      </c>
      <c r="D30" s="172" t="s">
        <v>2425</v>
      </c>
      <c r="E30" s="134">
        <v>818</v>
      </c>
    </row>
    <row r="31" spans="1:5" ht="15.75" customHeight="1">
      <c r="A31" s="177" t="s">
        <v>1257</v>
      </c>
      <c r="B31" s="149" t="s">
        <v>2426</v>
      </c>
      <c r="C31" s="13" t="s">
        <v>1728</v>
      </c>
      <c r="D31" s="172" t="s">
        <v>2427</v>
      </c>
      <c r="E31" s="134">
        <v>11900</v>
      </c>
    </row>
    <row r="32" spans="1:5" ht="15.75" customHeight="1">
      <c r="A32" s="177" t="s">
        <v>1259</v>
      </c>
      <c r="B32" s="149" t="s">
        <v>2430</v>
      </c>
      <c r="C32" s="13" t="s">
        <v>2349</v>
      </c>
      <c r="D32" s="172" t="s">
        <v>2431</v>
      </c>
      <c r="E32" s="134">
        <v>19513</v>
      </c>
    </row>
    <row r="33" spans="1:5" ht="15.75" customHeight="1">
      <c r="A33" s="177" t="s">
        <v>1263</v>
      </c>
      <c r="B33" s="149" t="s">
        <v>888</v>
      </c>
      <c r="C33" s="13" t="s">
        <v>378</v>
      </c>
      <c r="D33" s="172" t="s">
        <v>2432</v>
      </c>
      <c r="E33" s="134">
        <v>8750</v>
      </c>
    </row>
    <row r="34" spans="1:5" ht="15.75" customHeight="1">
      <c r="A34" s="177" t="s">
        <v>1267</v>
      </c>
      <c r="B34" s="149" t="s">
        <v>2433</v>
      </c>
      <c r="C34" s="13" t="s">
        <v>71</v>
      </c>
      <c r="D34" s="172" t="s">
        <v>2434</v>
      </c>
      <c r="E34" s="134">
        <v>13050</v>
      </c>
    </row>
    <row r="35" spans="1:5" ht="15.75" customHeight="1">
      <c r="A35" s="177" t="s">
        <v>1270</v>
      </c>
      <c r="B35" s="149" t="s">
        <v>2466</v>
      </c>
      <c r="C35" s="13" t="s">
        <v>2467</v>
      </c>
      <c r="D35" s="172" t="s">
        <v>2468</v>
      </c>
      <c r="E35" s="134">
        <v>7950</v>
      </c>
    </row>
    <row r="36" spans="1:5" ht="15.75" customHeight="1">
      <c r="A36" s="177" t="s">
        <v>1273</v>
      </c>
      <c r="B36" s="149" t="s">
        <v>2469</v>
      </c>
      <c r="C36" s="13" t="s">
        <v>51</v>
      </c>
      <c r="D36" s="172" t="s">
        <v>2470</v>
      </c>
      <c r="E36" s="134">
        <v>6951.24</v>
      </c>
    </row>
    <row r="37" spans="1:5" ht="15.75" customHeight="1">
      <c r="A37" s="177" t="s">
        <v>1275</v>
      </c>
      <c r="B37" s="149" t="s">
        <v>2471</v>
      </c>
      <c r="C37" s="13" t="s">
        <v>2472</v>
      </c>
      <c r="D37" s="172" t="s">
        <v>2377</v>
      </c>
      <c r="E37" s="134">
        <v>9250</v>
      </c>
    </row>
    <row r="38" spans="1:5" ht="15.75" customHeight="1">
      <c r="A38" s="108" t="s">
        <v>24</v>
      </c>
      <c r="B38" s="216"/>
      <c r="C38" s="204"/>
      <c r="D38" s="205"/>
      <c r="E38" s="49">
        <f>SUM(E12:E37)</f>
        <v>11461875.4</v>
      </c>
    </row>
    <row r="39" spans="1:5" ht="15.75" customHeight="1">
      <c r="A39" s="217" t="s">
        <v>2473</v>
      </c>
      <c r="B39" s="204"/>
      <c r="C39" s="204"/>
      <c r="D39" s="205"/>
      <c r="E39" s="192">
        <f>IF(E38&gt;=10000000,5000000*2%+5000000*1%+(E38-10000000)*1%,IF(E38&gt;=5000000,5000000*2%+(E38-5000000)*1%,E38*2%))</f>
        <v>164618.75400000002</v>
      </c>
    </row>
    <row r="40" spans="1:5" ht="15.75" customHeight="1">
      <c r="A40" s="211"/>
      <c r="B40" s="196"/>
      <c r="C40" s="196"/>
      <c r="D40" s="196"/>
      <c r="E40" s="196"/>
    </row>
    <row r="41" spans="1:5" ht="15.75" customHeight="1">
      <c r="A41" s="196"/>
      <c r="B41" s="196"/>
      <c r="C41" s="196"/>
      <c r="D41" s="196"/>
      <c r="E41" s="196"/>
    </row>
    <row r="42" spans="1:5" ht="14.25" customHeight="1">
      <c r="A42" s="211" t="s">
        <v>25</v>
      </c>
      <c r="B42" s="196"/>
      <c r="C42" s="196"/>
      <c r="D42" s="196"/>
      <c r="E42" s="196"/>
    </row>
    <row r="43" spans="1:5" ht="35.25" customHeight="1">
      <c r="A43" s="211"/>
      <c r="B43" s="196"/>
      <c r="C43" s="196"/>
      <c r="D43" s="196"/>
      <c r="E43" s="196"/>
    </row>
    <row r="44" spans="1:5" ht="15.75" customHeight="1">
      <c r="A44" s="211" t="s">
        <v>26</v>
      </c>
      <c r="B44" s="196"/>
      <c r="C44" s="196"/>
      <c r="D44" s="196"/>
      <c r="E44" s="196"/>
    </row>
    <row r="45" spans="1:5" ht="15.75" customHeight="1">
      <c r="A45" s="211" t="s">
        <v>27</v>
      </c>
      <c r="B45" s="196"/>
      <c r="C45" s="196"/>
      <c r="D45" s="196"/>
      <c r="E45" s="196"/>
    </row>
    <row r="46" spans="1:5" ht="15.75" customHeight="1">
      <c r="A46" s="211" t="s">
        <v>28</v>
      </c>
      <c r="B46" s="196"/>
      <c r="C46" s="196"/>
      <c r="D46" s="196"/>
      <c r="E46" s="196"/>
    </row>
  </sheetData>
  <mergeCells count="18">
    <mergeCell ref="A46:E46"/>
    <mergeCell ref="A8:E8"/>
    <mergeCell ref="A9:E9"/>
    <mergeCell ref="A10:E10"/>
    <mergeCell ref="B38:D38"/>
    <mergeCell ref="A39:D39"/>
    <mergeCell ref="A40:E41"/>
    <mergeCell ref="A42:E42"/>
    <mergeCell ref="A6:E6"/>
    <mergeCell ref="A7:E7"/>
    <mergeCell ref="A43:E43"/>
    <mergeCell ref="A44:E44"/>
    <mergeCell ref="A45:E45"/>
    <mergeCell ref="A1:E1"/>
    <mergeCell ref="A2:E2"/>
    <mergeCell ref="A3:E3"/>
    <mergeCell ref="A4:E4"/>
    <mergeCell ref="A5:E5"/>
  </mergeCells>
  <conditionalFormatting sqref="E12:E37">
    <cfRule type="notContainsBlanks" dxfId="17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  <pageSetUpPr fitToPage="1"/>
  </sheetPr>
  <dimension ref="A1:E41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4.1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8" t="s">
        <v>1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2474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77" t="s">
        <v>1209</v>
      </c>
      <c r="B12" s="149" t="s">
        <v>2439</v>
      </c>
      <c r="C12" s="13" t="s">
        <v>1203</v>
      </c>
      <c r="D12" s="161" t="s">
        <v>2440</v>
      </c>
      <c r="E12" s="134">
        <v>96000</v>
      </c>
    </row>
    <row r="13" spans="1:5" ht="15.75" customHeight="1">
      <c r="A13" s="177" t="s">
        <v>1212</v>
      </c>
      <c r="B13" s="149" t="s">
        <v>2441</v>
      </c>
      <c r="C13" s="13" t="s">
        <v>1203</v>
      </c>
      <c r="D13" s="172" t="s">
        <v>2442</v>
      </c>
      <c r="E13" s="134">
        <v>13650</v>
      </c>
    </row>
    <row r="14" spans="1:5" ht="15.75" customHeight="1">
      <c r="A14" s="177" t="s">
        <v>1215</v>
      </c>
      <c r="B14" s="149" t="s">
        <v>2428</v>
      </c>
      <c r="C14" s="13" t="s">
        <v>1728</v>
      </c>
      <c r="D14" s="172" t="s">
        <v>2429</v>
      </c>
      <c r="E14" s="134">
        <v>22307</v>
      </c>
    </row>
    <row r="15" spans="1:5" ht="15.75" customHeight="1">
      <c r="A15" s="177" t="s">
        <v>1217</v>
      </c>
      <c r="B15" s="149" t="s">
        <v>2443</v>
      </c>
      <c r="C15" s="13" t="s">
        <v>1150</v>
      </c>
      <c r="D15" s="172" t="s">
        <v>2444</v>
      </c>
      <c r="E15" s="134">
        <v>15159</v>
      </c>
    </row>
    <row r="16" spans="1:5" ht="15.75" customHeight="1">
      <c r="A16" s="177" t="s">
        <v>1221</v>
      </c>
      <c r="B16" s="191" t="s">
        <v>2445</v>
      </c>
      <c r="C16" s="13" t="s">
        <v>546</v>
      </c>
      <c r="D16" s="161" t="s">
        <v>2446</v>
      </c>
      <c r="E16" s="134">
        <v>15186</v>
      </c>
    </row>
    <row r="17" spans="1:5" ht="15.75" customHeight="1">
      <c r="A17" s="177" t="s">
        <v>1224</v>
      </c>
      <c r="B17" s="149" t="s">
        <v>2447</v>
      </c>
      <c r="C17" s="13" t="s">
        <v>546</v>
      </c>
      <c r="D17" s="172" t="s">
        <v>2448</v>
      </c>
      <c r="E17" s="134">
        <v>30372</v>
      </c>
    </row>
    <row r="18" spans="1:5" ht="15.75" customHeight="1">
      <c r="A18" s="177" t="s">
        <v>1226</v>
      </c>
      <c r="B18" s="149" t="s">
        <v>2449</v>
      </c>
      <c r="C18" s="13" t="s">
        <v>2450</v>
      </c>
      <c r="D18" s="172" t="s">
        <v>2451</v>
      </c>
      <c r="E18" s="134">
        <v>150000</v>
      </c>
    </row>
    <row r="19" spans="1:5" ht="15.75" customHeight="1">
      <c r="A19" s="177" t="s">
        <v>1228</v>
      </c>
      <c r="B19" s="149" t="s">
        <v>2452</v>
      </c>
      <c r="C19" s="13" t="s">
        <v>1992</v>
      </c>
      <c r="D19" s="172" t="s">
        <v>2453</v>
      </c>
      <c r="E19" s="134">
        <v>9090</v>
      </c>
    </row>
    <row r="20" spans="1:5" ht="15.75" customHeight="1">
      <c r="A20" s="177" t="s">
        <v>1230</v>
      </c>
      <c r="B20" s="149" t="s">
        <v>2454</v>
      </c>
      <c r="C20" s="100" t="s">
        <v>2349</v>
      </c>
      <c r="D20" s="172" t="s">
        <v>2455</v>
      </c>
      <c r="E20" s="134">
        <v>7908</v>
      </c>
    </row>
    <row r="21" spans="1:5" ht="15.75" customHeight="1">
      <c r="A21" s="177" t="s">
        <v>1232</v>
      </c>
      <c r="B21" s="12" t="s">
        <v>2456</v>
      </c>
      <c r="C21" s="13" t="s">
        <v>2457</v>
      </c>
      <c r="D21" s="172" t="s">
        <v>2458</v>
      </c>
      <c r="E21" s="134">
        <v>2854397</v>
      </c>
    </row>
    <row r="22" spans="1:5" ht="15.75" customHeight="1">
      <c r="A22" s="177" t="s">
        <v>1234</v>
      </c>
      <c r="B22" s="12" t="s">
        <v>2459</v>
      </c>
      <c r="C22" s="13" t="s">
        <v>2457</v>
      </c>
      <c r="D22" s="172" t="s">
        <v>2460</v>
      </c>
      <c r="E22" s="134">
        <v>433131.6</v>
      </c>
    </row>
    <row r="23" spans="1:5" ht="15.75" customHeight="1">
      <c r="A23" s="177" t="s">
        <v>1236</v>
      </c>
      <c r="B23" s="149" t="s">
        <v>2461</v>
      </c>
      <c r="C23" s="13" t="s">
        <v>2462</v>
      </c>
      <c r="D23" s="172" t="s">
        <v>2463</v>
      </c>
      <c r="E23" s="134">
        <v>6430388</v>
      </c>
    </row>
    <row r="24" spans="1:5" ht="15.75" customHeight="1">
      <c r="A24" s="177" t="s">
        <v>1240</v>
      </c>
      <c r="B24" s="149" t="s">
        <v>2464</v>
      </c>
      <c r="C24" s="13" t="s">
        <v>2465</v>
      </c>
      <c r="D24" s="172" t="s">
        <v>1212</v>
      </c>
      <c r="E24" s="134">
        <v>28000</v>
      </c>
    </row>
    <row r="25" spans="1:5" ht="15.75" customHeight="1">
      <c r="A25" s="177" t="s">
        <v>1242</v>
      </c>
      <c r="B25" s="178" t="s">
        <v>2415</v>
      </c>
      <c r="C25" s="13" t="s">
        <v>1728</v>
      </c>
      <c r="D25" s="171" t="s">
        <v>2416</v>
      </c>
      <c r="E25" s="134">
        <v>21204</v>
      </c>
    </row>
    <row r="26" spans="1:5" ht="15.75" customHeight="1">
      <c r="A26" s="177" t="s">
        <v>1245</v>
      </c>
      <c r="B26" s="149" t="s">
        <v>2417</v>
      </c>
      <c r="C26" s="13" t="s">
        <v>2349</v>
      </c>
      <c r="D26" s="172" t="s">
        <v>2418</v>
      </c>
      <c r="E26" s="134">
        <v>11012</v>
      </c>
    </row>
    <row r="27" spans="1:5" ht="15.75" customHeight="1">
      <c r="A27" s="177" t="s">
        <v>1247</v>
      </c>
      <c r="B27" s="149" t="s">
        <v>2421</v>
      </c>
      <c r="C27" s="13" t="s">
        <v>56</v>
      </c>
      <c r="D27" s="161" t="s">
        <v>1209</v>
      </c>
      <c r="E27" s="134">
        <v>27000</v>
      </c>
    </row>
    <row r="28" spans="1:5" ht="15.75" customHeight="1">
      <c r="A28" s="177" t="s">
        <v>1249</v>
      </c>
      <c r="B28" s="149" t="s">
        <v>2430</v>
      </c>
      <c r="C28" s="13" t="s">
        <v>2349</v>
      </c>
      <c r="D28" s="172" t="s">
        <v>2431</v>
      </c>
      <c r="E28" s="134">
        <v>19513</v>
      </c>
    </row>
    <row r="29" spans="1:5" ht="15.75" customHeight="1">
      <c r="A29" s="177" t="s">
        <v>1252</v>
      </c>
      <c r="B29" s="149" t="s">
        <v>2433</v>
      </c>
      <c r="C29" s="13" t="s">
        <v>71</v>
      </c>
      <c r="D29" s="172" t="s">
        <v>2434</v>
      </c>
      <c r="E29" s="134">
        <v>13050</v>
      </c>
    </row>
    <row r="30" spans="1:5" ht="15.75" customHeight="1">
      <c r="A30" s="177" t="s">
        <v>1255</v>
      </c>
      <c r="B30" s="149" t="s">
        <v>2466</v>
      </c>
      <c r="C30" s="13" t="s">
        <v>2467</v>
      </c>
      <c r="D30" s="172" t="s">
        <v>2468</v>
      </c>
      <c r="E30" s="134">
        <v>7950</v>
      </c>
    </row>
    <row r="31" spans="1:5" ht="15.75" customHeight="1">
      <c r="A31" s="177" t="s">
        <v>1257</v>
      </c>
      <c r="B31" s="149" t="s">
        <v>2469</v>
      </c>
      <c r="C31" s="13" t="s">
        <v>51</v>
      </c>
      <c r="D31" s="172" t="s">
        <v>2470</v>
      </c>
      <c r="E31" s="134">
        <v>6951.24</v>
      </c>
    </row>
    <row r="32" spans="1:5" ht="15.75" customHeight="1">
      <c r="A32" s="177" t="s">
        <v>1259</v>
      </c>
      <c r="B32" s="149" t="s">
        <v>2471</v>
      </c>
      <c r="C32" s="13" t="s">
        <v>2472</v>
      </c>
      <c r="D32" s="172" t="s">
        <v>2377</v>
      </c>
      <c r="E32" s="134">
        <v>9250</v>
      </c>
    </row>
    <row r="33" spans="1:5" ht="15.75" customHeight="1">
      <c r="A33" s="108" t="s">
        <v>24</v>
      </c>
      <c r="B33" s="216"/>
      <c r="C33" s="204"/>
      <c r="D33" s="205"/>
      <c r="E33" s="49">
        <f>SUM(E12:E32)</f>
        <v>10221518.84</v>
      </c>
    </row>
    <row r="34" spans="1:5" ht="15.75" customHeight="1">
      <c r="A34" s="217" t="s">
        <v>2473</v>
      </c>
      <c r="B34" s="204"/>
      <c r="C34" s="204"/>
      <c r="D34" s="205"/>
      <c r="E34" s="192">
        <f>E33*8%</f>
        <v>817721.50719999999</v>
      </c>
    </row>
    <row r="35" spans="1:5" ht="15.75" customHeight="1">
      <c r="A35" s="211"/>
      <c r="B35" s="196"/>
      <c r="C35" s="196"/>
      <c r="D35" s="196"/>
      <c r="E35" s="196"/>
    </row>
    <row r="36" spans="1:5" ht="15.75" customHeight="1">
      <c r="A36" s="196"/>
      <c r="B36" s="196"/>
      <c r="C36" s="196"/>
      <c r="D36" s="196"/>
      <c r="E36" s="196"/>
    </row>
    <row r="37" spans="1:5" ht="14.25" customHeight="1">
      <c r="A37" s="211" t="s">
        <v>25</v>
      </c>
      <c r="B37" s="196"/>
      <c r="C37" s="196"/>
      <c r="D37" s="196"/>
      <c r="E37" s="196"/>
    </row>
    <row r="38" spans="1:5" ht="35.25" customHeight="1">
      <c r="A38" s="211"/>
      <c r="B38" s="196"/>
      <c r="C38" s="196"/>
      <c r="D38" s="196"/>
      <c r="E38" s="196"/>
    </row>
    <row r="39" spans="1:5" ht="15.75" customHeight="1">
      <c r="A39" s="211" t="s">
        <v>26</v>
      </c>
      <c r="B39" s="196"/>
      <c r="C39" s="196"/>
      <c r="D39" s="196"/>
      <c r="E39" s="196"/>
    </row>
    <row r="40" spans="1:5" ht="15.75" customHeight="1">
      <c r="A40" s="211" t="s">
        <v>27</v>
      </c>
      <c r="B40" s="196"/>
      <c r="C40" s="196"/>
      <c r="D40" s="196"/>
      <c r="E40" s="196"/>
    </row>
    <row r="41" spans="1:5" ht="15.75" customHeight="1">
      <c r="A41" s="211" t="s">
        <v>28</v>
      </c>
      <c r="B41" s="196"/>
      <c r="C41" s="196"/>
      <c r="D41" s="196"/>
      <c r="E41" s="196"/>
    </row>
  </sheetData>
  <mergeCells count="18">
    <mergeCell ref="A41:E41"/>
    <mergeCell ref="A8:E8"/>
    <mergeCell ref="A9:E9"/>
    <mergeCell ref="A10:E10"/>
    <mergeCell ref="B33:D33"/>
    <mergeCell ref="A34:D34"/>
    <mergeCell ref="A35:E36"/>
    <mergeCell ref="A37:E37"/>
    <mergeCell ref="A6:E6"/>
    <mergeCell ref="A7:E7"/>
    <mergeCell ref="A38:E38"/>
    <mergeCell ref="A39:E39"/>
    <mergeCell ref="A40:E40"/>
    <mergeCell ref="A1:E1"/>
    <mergeCell ref="A2:E2"/>
    <mergeCell ref="A3:E3"/>
    <mergeCell ref="A4:E4"/>
    <mergeCell ref="A5:E5"/>
  </mergeCells>
  <conditionalFormatting sqref="E12:E32">
    <cfRule type="notContainsBlanks" dxfId="16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  <pageSetUpPr fitToPage="1"/>
  </sheetPr>
  <dimension ref="A1:E34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4.1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7" t="s">
        <v>2475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2476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77" t="s">
        <v>1209</v>
      </c>
      <c r="B12" s="149" t="s">
        <v>2477</v>
      </c>
      <c r="C12" s="13" t="s">
        <v>2478</v>
      </c>
      <c r="D12" s="172" t="s">
        <v>2479</v>
      </c>
      <c r="E12" s="134">
        <v>47500</v>
      </c>
    </row>
    <row r="13" spans="1:5" ht="15.75" customHeight="1">
      <c r="A13" s="177" t="s">
        <v>1212</v>
      </c>
      <c r="B13" s="149" t="s">
        <v>2480</v>
      </c>
      <c r="C13" s="13" t="s">
        <v>1203</v>
      </c>
      <c r="D13" s="172" t="s">
        <v>2481</v>
      </c>
      <c r="E13" s="134">
        <v>5650</v>
      </c>
    </row>
    <row r="14" spans="1:5" ht="15.75" customHeight="1">
      <c r="A14" s="177" t="s">
        <v>1215</v>
      </c>
      <c r="B14" s="149" t="s">
        <v>2482</v>
      </c>
      <c r="C14" s="13" t="s">
        <v>1728</v>
      </c>
      <c r="D14" s="175" t="s">
        <v>2483</v>
      </c>
      <c r="E14" s="134">
        <v>6430</v>
      </c>
    </row>
    <row r="15" spans="1:5" ht="15.75" customHeight="1">
      <c r="A15" s="177" t="s">
        <v>1217</v>
      </c>
      <c r="B15" s="149" t="s">
        <v>2484</v>
      </c>
      <c r="C15" s="13" t="s">
        <v>1728</v>
      </c>
      <c r="D15" s="175" t="s">
        <v>2485</v>
      </c>
      <c r="E15" s="134">
        <v>14000</v>
      </c>
    </row>
    <row r="16" spans="1:5" ht="15.75" customHeight="1">
      <c r="A16" s="177" t="s">
        <v>1221</v>
      </c>
      <c r="B16" s="149" t="s">
        <v>2486</v>
      </c>
      <c r="C16" s="13" t="s">
        <v>1728</v>
      </c>
      <c r="D16" s="172" t="s">
        <v>2487</v>
      </c>
      <c r="E16" s="134">
        <v>17185</v>
      </c>
    </row>
    <row r="17" spans="1:5" ht="15.75" customHeight="1">
      <c r="A17" s="177" t="s">
        <v>1224</v>
      </c>
      <c r="B17" s="149" t="s">
        <v>2488</v>
      </c>
      <c r="C17" s="13" t="s">
        <v>2185</v>
      </c>
      <c r="D17" s="172" t="s">
        <v>2489</v>
      </c>
      <c r="E17" s="134">
        <v>7310</v>
      </c>
    </row>
    <row r="18" spans="1:5" ht="15.75" customHeight="1">
      <c r="A18" s="177" t="s">
        <v>1226</v>
      </c>
      <c r="B18" s="149" t="s">
        <v>2461</v>
      </c>
      <c r="C18" s="13" t="s">
        <v>2462</v>
      </c>
      <c r="D18" s="172" t="s">
        <v>2463</v>
      </c>
      <c r="E18" s="134">
        <v>18431645.5</v>
      </c>
    </row>
    <row r="19" spans="1:5" ht="15.75" customHeight="1">
      <c r="A19" s="177" t="s">
        <v>1228</v>
      </c>
      <c r="B19" s="149" t="s">
        <v>2490</v>
      </c>
      <c r="C19" s="13" t="s">
        <v>2491</v>
      </c>
      <c r="D19" s="172" t="s">
        <v>2492</v>
      </c>
      <c r="E19" s="134">
        <v>8660</v>
      </c>
    </row>
    <row r="20" spans="1:5" ht="15.75" customHeight="1">
      <c r="A20" s="177" t="s">
        <v>1230</v>
      </c>
      <c r="B20" s="149" t="s">
        <v>1178</v>
      </c>
      <c r="C20" s="13" t="s">
        <v>1728</v>
      </c>
      <c r="D20" s="172" t="s">
        <v>2493</v>
      </c>
      <c r="E20" s="134">
        <v>9720</v>
      </c>
    </row>
    <row r="21" spans="1:5" ht="15.75" customHeight="1">
      <c r="A21" s="177" t="s">
        <v>1232</v>
      </c>
      <c r="B21" s="149" t="s">
        <v>2494</v>
      </c>
      <c r="C21" s="13" t="s">
        <v>783</v>
      </c>
      <c r="D21" s="172" t="s">
        <v>2495</v>
      </c>
      <c r="E21" s="134">
        <v>9000</v>
      </c>
    </row>
    <row r="22" spans="1:5" ht="15.75" customHeight="1">
      <c r="A22" s="177" t="s">
        <v>1234</v>
      </c>
      <c r="B22" s="149" t="s">
        <v>2496</v>
      </c>
      <c r="C22" s="13" t="s">
        <v>783</v>
      </c>
      <c r="D22" s="172" t="s">
        <v>2497</v>
      </c>
      <c r="E22" s="134">
        <v>35000</v>
      </c>
    </row>
    <row r="23" spans="1:5" ht="15.75" customHeight="1">
      <c r="A23" s="177" t="s">
        <v>1236</v>
      </c>
      <c r="B23" s="149" t="s">
        <v>1452</v>
      </c>
      <c r="C23" s="13" t="s">
        <v>783</v>
      </c>
      <c r="D23" s="172" t="s">
        <v>2498</v>
      </c>
      <c r="E23" s="134">
        <v>11500</v>
      </c>
    </row>
    <row r="24" spans="1:5" ht="15.75" customHeight="1">
      <c r="A24" s="177" t="s">
        <v>1240</v>
      </c>
      <c r="B24" s="149" t="s">
        <v>2499</v>
      </c>
      <c r="C24" s="13" t="s">
        <v>1728</v>
      </c>
      <c r="D24" s="172" t="s">
        <v>2500</v>
      </c>
      <c r="E24" s="134">
        <v>11033</v>
      </c>
    </row>
    <row r="25" spans="1:5" ht="15.75" customHeight="1">
      <c r="A25" s="177" t="s">
        <v>1242</v>
      </c>
      <c r="B25" s="149" t="s">
        <v>2501</v>
      </c>
      <c r="C25" s="13" t="s">
        <v>2502</v>
      </c>
      <c r="D25" s="172" t="s">
        <v>2503</v>
      </c>
      <c r="E25" s="134">
        <v>29350</v>
      </c>
    </row>
    <row r="26" spans="1:5" ht="15.75" customHeight="1">
      <c r="A26" s="108" t="s">
        <v>24</v>
      </c>
      <c r="B26" s="216"/>
      <c r="C26" s="204"/>
      <c r="D26" s="205"/>
      <c r="E26" s="49">
        <f>SUM(E12:E25)</f>
        <v>18643983.5</v>
      </c>
    </row>
    <row r="27" spans="1:5" ht="15.75" customHeight="1">
      <c r="A27" s="217" t="s">
        <v>2504</v>
      </c>
      <c r="B27" s="204"/>
      <c r="C27" s="204"/>
      <c r="D27" s="205"/>
      <c r="E27" s="192">
        <f>IF(E26&gt;=10000000,5000000*2%+5000000*1%+(E26-10000000)*1%,IF(E26&gt;=5000000,5000000*2%+(E26-5000000)*1%,E26*2%))</f>
        <v>236439.83500000002</v>
      </c>
    </row>
    <row r="28" spans="1:5" ht="15.75" customHeight="1">
      <c r="A28" s="211"/>
      <c r="B28" s="196"/>
      <c r="C28" s="196"/>
      <c r="D28" s="196"/>
      <c r="E28" s="196"/>
    </row>
    <row r="29" spans="1:5" ht="15.75" customHeight="1">
      <c r="A29" s="211"/>
      <c r="B29" s="196"/>
      <c r="C29" s="196"/>
      <c r="D29" s="196"/>
      <c r="E29" s="27"/>
    </row>
    <row r="30" spans="1:5" ht="14.25" customHeight="1">
      <c r="A30" s="211" t="s">
        <v>25</v>
      </c>
      <c r="B30" s="196"/>
      <c r="C30" s="196"/>
      <c r="D30" s="196"/>
      <c r="E30" s="196"/>
    </row>
    <row r="31" spans="1:5" ht="35.25" customHeight="1">
      <c r="A31" s="211"/>
      <c r="B31" s="196"/>
      <c r="C31" s="196"/>
      <c r="D31" s="196"/>
      <c r="E31" s="196"/>
    </row>
    <row r="32" spans="1:5" ht="15.75" customHeight="1">
      <c r="A32" s="211" t="s">
        <v>26</v>
      </c>
      <c r="B32" s="196"/>
      <c r="C32" s="196"/>
      <c r="D32" s="196"/>
      <c r="E32" s="196"/>
    </row>
    <row r="33" spans="1:5" ht="15.75" customHeight="1">
      <c r="A33" s="211" t="s">
        <v>27</v>
      </c>
      <c r="B33" s="196"/>
      <c r="C33" s="196"/>
      <c r="D33" s="196"/>
      <c r="E33" s="196"/>
    </row>
    <row r="34" spans="1:5" ht="15.75" customHeight="1">
      <c r="A34" s="211" t="s">
        <v>28</v>
      </c>
      <c r="B34" s="196"/>
      <c r="C34" s="196"/>
      <c r="D34" s="196"/>
      <c r="E34" s="196"/>
    </row>
  </sheetData>
  <mergeCells count="19">
    <mergeCell ref="A33:E33"/>
    <mergeCell ref="A34:E34"/>
    <mergeCell ref="A8:E8"/>
    <mergeCell ref="A9:E9"/>
    <mergeCell ref="A10:E10"/>
    <mergeCell ref="B26:D26"/>
    <mergeCell ref="A27:D27"/>
    <mergeCell ref="A28:E28"/>
    <mergeCell ref="A29:D29"/>
    <mergeCell ref="A6:E6"/>
    <mergeCell ref="A7:E7"/>
    <mergeCell ref="A30:E30"/>
    <mergeCell ref="A31:E31"/>
    <mergeCell ref="A32:E32"/>
    <mergeCell ref="A1:E1"/>
    <mergeCell ref="A2:E2"/>
    <mergeCell ref="A3:E3"/>
    <mergeCell ref="A4:E4"/>
    <mergeCell ref="A5:E5"/>
  </mergeCells>
  <conditionalFormatting sqref="E12:E25">
    <cfRule type="notContainsBlanks" dxfId="15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  <pageSetUpPr fitToPage="1"/>
  </sheetPr>
  <dimension ref="A1:E34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4.1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7" t="s">
        <v>2475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2505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77" t="s">
        <v>1209</v>
      </c>
      <c r="B12" s="149" t="s">
        <v>2477</v>
      </c>
      <c r="C12" s="13" t="s">
        <v>2478</v>
      </c>
      <c r="D12" s="172" t="s">
        <v>2479</v>
      </c>
      <c r="E12" s="134">
        <v>47500</v>
      </c>
    </row>
    <row r="13" spans="1:5" ht="15.75" customHeight="1">
      <c r="A13" s="177" t="s">
        <v>1212</v>
      </c>
      <c r="B13" s="149" t="s">
        <v>2480</v>
      </c>
      <c r="C13" s="13" t="s">
        <v>1203</v>
      </c>
      <c r="D13" s="172" t="s">
        <v>2481</v>
      </c>
      <c r="E13" s="134">
        <v>5650</v>
      </c>
    </row>
    <row r="14" spans="1:5" ht="15.75" customHeight="1">
      <c r="A14" s="177" t="s">
        <v>1215</v>
      </c>
      <c r="B14" s="149" t="s">
        <v>2482</v>
      </c>
      <c r="C14" s="13" t="s">
        <v>1728</v>
      </c>
      <c r="D14" s="175" t="s">
        <v>2483</v>
      </c>
      <c r="E14" s="134">
        <v>6430</v>
      </c>
    </row>
    <row r="15" spans="1:5" ht="15.75" customHeight="1">
      <c r="A15" s="177" t="s">
        <v>1217</v>
      </c>
      <c r="B15" s="149" t="s">
        <v>2484</v>
      </c>
      <c r="C15" s="13" t="s">
        <v>1728</v>
      </c>
      <c r="D15" s="175" t="s">
        <v>2485</v>
      </c>
      <c r="E15" s="134">
        <v>14000</v>
      </c>
    </row>
    <row r="16" spans="1:5" ht="15.75" customHeight="1">
      <c r="A16" s="177" t="s">
        <v>1221</v>
      </c>
      <c r="B16" s="149" t="s">
        <v>2486</v>
      </c>
      <c r="C16" s="13" t="s">
        <v>1728</v>
      </c>
      <c r="D16" s="172" t="s">
        <v>2487</v>
      </c>
      <c r="E16" s="134">
        <v>17185</v>
      </c>
    </row>
    <row r="17" spans="1:5" ht="15.75" customHeight="1">
      <c r="A17" s="177" t="s">
        <v>1224</v>
      </c>
      <c r="B17" s="149" t="s">
        <v>2488</v>
      </c>
      <c r="C17" s="13" t="s">
        <v>2185</v>
      </c>
      <c r="D17" s="172" t="s">
        <v>2489</v>
      </c>
      <c r="E17" s="134">
        <v>7310</v>
      </c>
    </row>
    <row r="18" spans="1:5" ht="15.75" customHeight="1">
      <c r="A18" s="177" t="s">
        <v>1226</v>
      </c>
      <c r="B18" s="149" t="s">
        <v>2461</v>
      </c>
      <c r="C18" s="13" t="s">
        <v>2462</v>
      </c>
      <c r="D18" s="172" t="s">
        <v>2463</v>
      </c>
      <c r="E18" s="134">
        <v>3436047</v>
      </c>
    </row>
    <row r="19" spans="1:5" ht="15.75" customHeight="1">
      <c r="A19" s="177" t="s">
        <v>1228</v>
      </c>
      <c r="B19" s="149" t="s">
        <v>2490</v>
      </c>
      <c r="C19" s="13" t="s">
        <v>2491</v>
      </c>
      <c r="D19" s="172" t="s">
        <v>2492</v>
      </c>
      <c r="E19" s="134">
        <v>8660</v>
      </c>
    </row>
    <row r="20" spans="1:5" ht="15.75" customHeight="1">
      <c r="A20" s="177" t="s">
        <v>1230</v>
      </c>
      <c r="B20" s="149" t="s">
        <v>1178</v>
      </c>
      <c r="C20" s="13" t="s">
        <v>1728</v>
      </c>
      <c r="D20" s="172" t="s">
        <v>2493</v>
      </c>
      <c r="E20" s="134">
        <v>9720</v>
      </c>
    </row>
    <row r="21" spans="1:5" ht="15.75" customHeight="1">
      <c r="A21" s="177" t="s">
        <v>1232</v>
      </c>
      <c r="B21" s="149" t="s">
        <v>2494</v>
      </c>
      <c r="C21" s="13" t="s">
        <v>783</v>
      </c>
      <c r="D21" s="172" t="s">
        <v>2495</v>
      </c>
      <c r="E21" s="134">
        <v>9000</v>
      </c>
    </row>
    <row r="22" spans="1:5" ht="15.75" customHeight="1">
      <c r="A22" s="177" t="s">
        <v>1234</v>
      </c>
      <c r="B22" s="149" t="s">
        <v>2496</v>
      </c>
      <c r="C22" s="13" t="s">
        <v>783</v>
      </c>
      <c r="D22" s="172" t="s">
        <v>2497</v>
      </c>
      <c r="E22" s="134">
        <v>35000</v>
      </c>
    </row>
    <row r="23" spans="1:5" ht="15.75" customHeight="1">
      <c r="A23" s="177" t="s">
        <v>1236</v>
      </c>
      <c r="B23" s="149" t="s">
        <v>1452</v>
      </c>
      <c r="C23" s="13" t="s">
        <v>783</v>
      </c>
      <c r="D23" s="172" t="s">
        <v>2498</v>
      </c>
      <c r="E23" s="134">
        <v>11500</v>
      </c>
    </row>
    <row r="24" spans="1:5" ht="15.75" customHeight="1">
      <c r="A24" s="177" t="s">
        <v>1240</v>
      </c>
      <c r="B24" s="149" t="s">
        <v>2499</v>
      </c>
      <c r="C24" s="13" t="s">
        <v>1728</v>
      </c>
      <c r="D24" s="172" t="s">
        <v>2500</v>
      </c>
      <c r="E24" s="134">
        <v>11033</v>
      </c>
    </row>
    <row r="25" spans="1:5" ht="15.75" customHeight="1">
      <c r="A25" s="177" t="s">
        <v>1242</v>
      </c>
      <c r="B25" s="149" t="s">
        <v>2501</v>
      </c>
      <c r="C25" s="13" t="s">
        <v>2502</v>
      </c>
      <c r="D25" s="172" t="s">
        <v>2503</v>
      </c>
      <c r="E25" s="134">
        <v>29350</v>
      </c>
    </row>
    <row r="26" spans="1:5" ht="15.75" customHeight="1">
      <c r="A26" s="108" t="s">
        <v>24</v>
      </c>
      <c r="B26" s="216"/>
      <c r="C26" s="204"/>
      <c r="D26" s="205"/>
      <c r="E26" s="49">
        <f>SUM(E12:E25)</f>
        <v>3648385</v>
      </c>
    </row>
    <row r="27" spans="1:5" ht="15.75" customHeight="1">
      <c r="A27" s="217" t="s">
        <v>2504</v>
      </c>
      <c r="B27" s="204"/>
      <c r="C27" s="204"/>
      <c r="D27" s="205"/>
      <c r="E27" s="192">
        <f>E26*8%</f>
        <v>291870.8</v>
      </c>
    </row>
    <row r="28" spans="1:5" ht="15.75" customHeight="1">
      <c r="A28" s="211"/>
      <c r="B28" s="196"/>
      <c r="C28" s="196"/>
      <c r="D28" s="196"/>
      <c r="E28" s="196"/>
    </row>
    <row r="29" spans="1:5" ht="15.75" customHeight="1">
      <c r="A29" s="211"/>
      <c r="B29" s="196"/>
      <c r="C29" s="196"/>
      <c r="D29" s="196"/>
      <c r="E29" s="27"/>
    </row>
    <row r="30" spans="1:5" ht="14.25" customHeight="1">
      <c r="A30" s="211" t="s">
        <v>25</v>
      </c>
      <c r="B30" s="196"/>
      <c r="C30" s="196"/>
      <c r="D30" s="196"/>
      <c r="E30" s="196"/>
    </row>
    <row r="31" spans="1:5" ht="35.25" customHeight="1">
      <c r="A31" s="211"/>
      <c r="B31" s="196"/>
      <c r="C31" s="196"/>
      <c r="D31" s="196"/>
      <c r="E31" s="196"/>
    </row>
    <row r="32" spans="1:5" ht="15.75" customHeight="1">
      <c r="A32" s="211" t="s">
        <v>26</v>
      </c>
      <c r="B32" s="196"/>
      <c r="C32" s="196"/>
      <c r="D32" s="196"/>
      <c r="E32" s="196"/>
    </row>
    <row r="33" spans="1:5" ht="15.75" customHeight="1">
      <c r="A33" s="211" t="s">
        <v>27</v>
      </c>
      <c r="B33" s="196"/>
      <c r="C33" s="196"/>
      <c r="D33" s="196"/>
      <c r="E33" s="196"/>
    </row>
    <row r="34" spans="1:5" ht="15.75" customHeight="1">
      <c r="A34" s="211" t="s">
        <v>28</v>
      </c>
      <c r="B34" s="196"/>
      <c r="C34" s="196"/>
      <c r="D34" s="196"/>
      <c r="E34" s="196"/>
    </row>
  </sheetData>
  <mergeCells count="19">
    <mergeCell ref="A33:E33"/>
    <mergeCell ref="A34:E34"/>
    <mergeCell ref="A8:E8"/>
    <mergeCell ref="A9:E9"/>
    <mergeCell ref="A10:E10"/>
    <mergeCell ref="B26:D26"/>
    <mergeCell ref="A27:D27"/>
    <mergeCell ref="A28:E28"/>
    <mergeCell ref="A29:D29"/>
    <mergeCell ref="A6:E6"/>
    <mergeCell ref="A7:E7"/>
    <mergeCell ref="A30:E30"/>
    <mergeCell ref="A31:E31"/>
    <mergeCell ref="A32:E32"/>
    <mergeCell ref="A1:E1"/>
    <mergeCell ref="A2:E2"/>
    <mergeCell ref="A3:E3"/>
    <mergeCell ref="A4:E4"/>
    <mergeCell ref="A5:E5"/>
  </mergeCells>
  <conditionalFormatting sqref="E12:E25">
    <cfRule type="notContainsBlanks" dxfId="14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  <pageSetUpPr fitToPage="1"/>
  </sheetPr>
  <dimension ref="A1:E50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4.1640625" customWidth="1"/>
    <col min="4" max="4" width="31.6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7" t="s">
        <v>2475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2506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77" t="s">
        <v>1209</v>
      </c>
      <c r="B12" s="149" t="s">
        <v>2507</v>
      </c>
      <c r="C12" s="13" t="s">
        <v>1728</v>
      </c>
      <c r="D12" s="172" t="s">
        <v>2508</v>
      </c>
      <c r="E12" s="134">
        <v>14430</v>
      </c>
    </row>
    <row r="13" spans="1:5" ht="15.75" customHeight="1">
      <c r="A13" s="177" t="s">
        <v>1212</v>
      </c>
      <c r="B13" s="191" t="s">
        <v>2509</v>
      </c>
      <c r="C13" s="13" t="s">
        <v>2349</v>
      </c>
      <c r="D13" s="161" t="s">
        <v>2510</v>
      </c>
      <c r="E13" s="134">
        <v>191862</v>
      </c>
    </row>
    <row r="14" spans="1:5" ht="15.75" customHeight="1">
      <c r="A14" s="177" t="s">
        <v>1215</v>
      </c>
      <c r="B14" s="149" t="s">
        <v>2511</v>
      </c>
      <c r="C14" s="100" t="s">
        <v>1728</v>
      </c>
      <c r="D14" s="172" t="s">
        <v>2512</v>
      </c>
      <c r="E14" s="134">
        <v>13600</v>
      </c>
    </row>
    <row r="15" spans="1:5" ht="15.75" customHeight="1">
      <c r="A15" s="177" t="s">
        <v>1217</v>
      </c>
      <c r="B15" s="149" t="s">
        <v>2513</v>
      </c>
      <c r="C15" s="13" t="s">
        <v>21</v>
      </c>
      <c r="D15" s="172" t="s">
        <v>2514</v>
      </c>
      <c r="E15" s="134">
        <v>5700</v>
      </c>
    </row>
    <row r="16" spans="1:5" ht="15.75" customHeight="1">
      <c r="A16" s="177" t="s">
        <v>1221</v>
      </c>
      <c r="B16" s="149" t="s">
        <v>2515</v>
      </c>
      <c r="C16" s="13" t="s">
        <v>2516</v>
      </c>
      <c r="D16" s="161" t="s">
        <v>2517</v>
      </c>
      <c r="E16" s="134">
        <v>12487487.84</v>
      </c>
    </row>
    <row r="17" spans="1:5" ht="15.75" customHeight="1">
      <c r="A17" s="177" t="s">
        <v>1224</v>
      </c>
      <c r="B17" s="149" t="s">
        <v>2518</v>
      </c>
      <c r="C17" s="13" t="s">
        <v>2516</v>
      </c>
      <c r="D17" s="161" t="s">
        <v>2519</v>
      </c>
      <c r="E17" s="134">
        <v>313072</v>
      </c>
    </row>
    <row r="18" spans="1:5" ht="15.75" customHeight="1">
      <c r="A18" s="177" t="s">
        <v>1226</v>
      </c>
      <c r="B18" s="149" t="s">
        <v>2520</v>
      </c>
      <c r="C18" s="13" t="s">
        <v>2521</v>
      </c>
      <c r="D18" s="161" t="s">
        <v>1275</v>
      </c>
      <c r="E18" s="134">
        <v>11800</v>
      </c>
    </row>
    <row r="19" spans="1:5" ht="15.75" customHeight="1">
      <c r="A19" s="177" t="s">
        <v>1228</v>
      </c>
      <c r="B19" s="149" t="s">
        <v>2522</v>
      </c>
      <c r="C19" s="13" t="s">
        <v>378</v>
      </c>
      <c r="D19" s="161" t="s">
        <v>2523</v>
      </c>
      <c r="E19" s="134">
        <v>12000</v>
      </c>
    </row>
    <row r="20" spans="1:5" ht="15.75" customHeight="1">
      <c r="A20" s="177" t="s">
        <v>1230</v>
      </c>
      <c r="B20" s="149" t="s">
        <v>2524</v>
      </c>
      <c r="C20" s="13" t="s">
        <v>783</v>
      </c>
      <c r="D20" s="161" t="s">
        <v>2525</v>
      </c>
      <c r="E20" s="134">
        <v>16950</v>
      </c>
    </row>
    <row r="21" spans="1:5" ht="15.75" customHeight="1">
      <c r="A21" s="177" t="s">
        <v>1232</v>
      </c>
      <c r="B21" s="149" t="s">
        <v>2526</v>
      </c>
      <c r="C21" s="13" t="s">
        <v>828</v>
      </c>
      <c r="D21" s="161" t="s">
        <v>2527</v>
      </c>
      <c r="E21" s="134">
        <v>43000</v>
      </c>
    </row>
    <row r="22" spans="1:5" ht="15.75" customHeight="1">
      <c r="A22" s="177" t="s">
        <v>1234</v>
      </c>
      <c r="B22" s="149" t="s">
        <v>2528</v>
      </c>
      <c r="C22" s="13" t="s">
        <v>2529</v>
      </c>
      <c r="D22" s="161" t="s">
        <v>2530</v>
      </c>
      <c r="E22" s="134">
        <v>14800</v>
      </c>
    </row>
    <row r="23" spans="1:5" ht="15.75" customHeight="1">
      <c r="A23" s="177" t="s">
        <v>1236</v>
      </c>
      <c r="B23" s="149" t="s">
        <v>2531</v>
      </c>
      <c r="C23" s="13" t="s">
        <v>2532</v>
      </c>
      <c r="D23" s="161" t="s">
        <v>2533</v>
      </c>
      <c r="E23" s="134">
        <v>3500</v>
      </c>
    </row>
    <row r="24" spans="1:5" ht="15.75" customHeight="1">
      <c r="A24" s="177" t="s">
        <v>1240</v>
      </c>
      <c r="B24" s="149" t="s">
        <v>2534</v>
      </c>
      <c r="C24" s="13" t="s">
        <v>2349</v>
      </c>
      <c r="D24" s="161" t="s">
        <v>2535</v>
      </c>
      <c r="E24" s="134">
        <v>69001</v>
      </c>
    </row>
    <row r="25" spans="1:5" ht="15.75" customHeight="1">
      <c r="A25" s="177" t="s">
        <v>1242</v>
      </c>
      <c r="B25" s="149" t="s">
        <v>2536</v>
      </c>
      <c r="C25" s="13" t="s">
        <v>2537</v>
      </c>
      <c r="D25" s="161" t="s">
        <v>2538</v>
      </c>
      <c r="E25" s="134">
        <v>38850</v>
      </c>
    </row>
    <row r="26" spans="1:5" ht="15.75" customHeight="1">
      <c r="A26" s="177" t="s">
        <v>1245</v>
      </c>
      <c r="B26" s="149" t="s">
        <v>2539</v>
      </c>
      <c r="C26" s="13" t="s">
        <v>1177</v>
      </c>
      <c r="D26" s="172" t="s">
        <v>2540</v>
      </c>
      <c r="E26" s="134">
        <v>175500</v>
      </c>
    </row>
    <row r="27" spans="1:5" ht="15.75" customHeight="1">
      <c r="A27" s="177" t="s">
        <v>1247</v>
      </c>
      <c r="B27" s="149" t="s">
        <v>2251</v>
      </c>
      <c r="C27" s="13" t="s">
        <v>1728</v>
      </c>
      <c r="D27" s="161" t="s">
        <v>2541</v>
      </c>
      <c r="E27" s="134">
        <v>11048</v>
      </c>
    </row>
    <row r="28" spans="1:5" ht="15.75" customHeight="1">
      <c r="A28" s="177" t="s">
        <v>1249</v>
      </c>
      <c r="B28" s="149" t="s">
        <v>2542</v>
      </c>
      <c r="C28" s="13" t="s">
        <v>1728</v>
      </c>
      <c r="D28" s="161" t="s">
        <v>2543</v>
      </c>
      <c r="E28" s="134">
        <v>14050</v>
      </c>
    </row>
    <row r="29" spans="1:5" ht="15.75" customHeight="1">
      <c r="A29" s="177" t="s">
        <v>1252</v>
      </c>
      <c r="B29" s="149" t="s">
        <v>2544</v>
      </c>
      <c r="C29" s="13" t="s">
        <v>51</v>
      </c>
      <c r="D29" s="161" t="s">
        <v>2545</v>
      </c>
      <c r="E29" s="134">
        <v>8257.92</v>
      </c>
    </row>
    <row r="30" spans="1:5" ht="15.75" customHeight="1">
      <c r="A30" s="177" t="s">
        <v>1255</v>
      </c>
      <c r="B30" s="149" t="s">
        <v>2546</v>
      </c>
      <c r="C30" s="13" t="s">
        <v>1177</v>
      </c>
      <c r="D30" s="161" t="s">
        <v>2547</v>
      </c>
      <c r="E30" s="134">
        <v>347500</v>
      </c>
    </row>
    <row r="31" spans="1:5" ht="15.75" customHeight="1">
      <c r="A31" s="177" t="s">
        <v>1257</v>
      </c>
      <c r="B31" s="149" t="s">
        <v>2548</v>
      </c>
      <c r="C31" s="13" t="s">
        <v>1759</v>
      </c>
      <c r="D31" s="161" t="s">
        <v>2549</v>
      </c>
      <c r="E31" s="134">
        <v>11000</v>
      </c>
    </row>
    <row r="32" spans="1:5" ht="15.75" customHeight="1">
      <c r="A32" s="177" t="s">
        <v>1259</v>
      </c>
      <c r="B32" s="149" t="s">
        <v>2550</v>
      </c>
      <c r="C32" s="13" t="s">
        <v>2349</v>
      </c>
      <c r="D32" s="161" t="s">
        <v>2551</v>
      </c>
      <c r="E32" s="134">
        <v>14795</v>
      </c>
    </row>
    <row r="33" spans="1:5" ht="15.75" customHeight="1">
      <c r="A33" s="177" t="s">
        <v>1263</v>
      </c>
      <c r="B33" s="149" t="s">
        <v>2552</v>
      </c>
      <c r="C33" s="13" t="s">
        <v>1130</v>
      </c>
      <c r="D33" s="172" t="s">
        <v>2553</v>
      </c>
      <c r="E33" s="134">
        <v>155000</v>
      </c>
    </row>
    <row r="34" spans="1:5" ht="15.75" customHeight="1">
      <c r="A34" s="177" t="s">
        <v>1267</v>
      </c>
      <c r="B34" s="149" t="s">
        <v>2554</v>
      </c>
      <c r="C34" s="13" t="s">
        <v>2555</v>
      </c>
      <c r="D34" s="172" t="s">
        <v>2556</v>
      </c>
      <c r="E34" s="134">
        <v>774197.25</v>
      </c>
    </row>
    <row r="35" spans="1:5" ht="15.75" customHeight="1">
      <c r="A35" s="177" t="s">
        <v>1270</v>
      </c>
      <c r="B35" s="149" t="s">
        <v>2557</v>
      </c>
      <c r="C35" s="13" t="s">
        <v>15</v>
      </c>
      <c r="D35" s="161" t="s">
        <v>2558</v>
      </c>
      <c r="E35" s="134">
        <v>23153.279999999999</v>
      </c>
    </row>
    <row r="36" spans="1:5" ht="15.75" customHeight="1">
      <c r="A36" s="177" t="s">
        <v>1273</v>
      </c>
      <c r="B36" s="149" t="s">
        <v>2559</v>
      </c>
      <c r="C36" s="13" t="s">
        <v>15</v>
      </c>
      <c r="D36" s="161" t="s">
        <v>2560</v>
      </c>
      <c r="E36" s="134">
        <v>16000</v>
      </c>
    </row>
    <row r="37" spans="1:5" ht="15.75" customHeight="1">
      <c r="A37" s="177" t="s">
        <v>1275</v>
      </c>
      <c r="B37" s="149" t="s">
        <v>2561</v>
      </c>
      <c r="C37" s="13" t="s">
        <v>15</v>
      </c>
      <c r="D37" s="172" t="s">
        <v>2562</v>
      </c>
      <c r="E37" s="134">
        <v>6369.48</v>
      </c>
    </row>
    <row r="38" spans="1:5" ht="15.75" customHeight="1">
      <c r="A38" s="177" t="s">
        <v>1278</v>
      </c>
      <c r="B38" s="149" t="s">
        <v>2563</v>
      </c>
      <c r="C38" s="13" t="s">
        <v>783</v>
      </c>
      <c r="D38" s="172" t="s">
        <v>2564</v>
      </c>
      <c r="E38" s="134">
        <v>36950</v>
      </c>
    </row>
    <row r="39" spans="1:5" ht="15.75" customHeight="1">
      <c r="A39" s="177" t="s">
        <v>1281</v>
      </c>
      <c r="B39" s="149" t="s">
        <v>2565</v>
      </c>
      <c r="C39" s="13" t="s">
        <v>1177</v>
      </c>
      <c r="D39" s="161" t="s">
        <v>2566</v>
      </c>
      <c r="E39" s="134">
        <v>207000</v>
      </c>
    </row>
    <row r="40" spans="1:5" ht="15.75" customHeight="1">
      <c r="A40" s="177" t="s">
        <v>1284</v>
      </c>
      <c r="B40" s="149" t="s">
        <v>2567</v>
      </c>
      <c r="C40" s="13" t="s">
        <v>2056</v>
      </c>
      <c r="D40" s="175" t="s">
        <v>2568</v>
      </c>
      <c r="E40" s="134">
        <v>69360</v>
      </c>
    </row>
    <row r="41" spans="1:5" ht="15.75" customHeight="1">
      <c r="A41" s="177" t="s">
        <v>1286</v>
      </c>
      <c r="B41" s="149" t="s">
        <v>2569</v>
      </c>
      <c r="C41" s="13" t="s">
        <v>378</v>
      </c>
      <c r="D41" s="172" t="s">
        <v>2570</v>
      </c>
      <c r="E41" s="134">
        <v>9776</v>
      </c>
    </row>
    <row r="42" spans="1:5" ht="15.75" customHeight="1">
      <c r="A42" s="108" t="s">
        <v>24</v>
      </c>
      <c r="B42" s="216"/>
      <c r="C42" s="204"/>
      <c r="D42" s="205"/>
      <c r="E42" s="49">
        <f>SUM(E12:E41)</f>
        <v>15116009.77</v>
      </c>
    </row>
    <row r="43" spans="1:5" ht="15.75" customHeight="1">
      <c r="A43" s="217" t="s">
        <v>2571</v>
      </c>
      <c r="B43" s="204"/>
      <c r="C43" s="204"/>
      <c r="D43" s="205"/>
      <c r="E43" s="192">
        <f>IF(E42&gt;=10000000,5000000*2%+5000000*1%+(E42-10000000)*1%,IF(E42&gt;=5000000,5000000*2%+(E42-5000000)*1%,E42*2%))</f>
        <v>201160.09769999998</v>
      </c>
    </row>
    <row r="44" spans="1:5" ht="15.75" customHeight="1">
      <c r="A44" s="211"/>
      <c r="B44" s="196"/>
      <c r="C44" s="196"/>
      <c r="D44" s="196"/>
      <c r="E44" s="196"/>
    </row>
    <row r="45" spans="1:5" ht="15.75" customHeight="1">
      <c r="A45" s="211"/>
      <c r="B45" s="196"/>
      <c r="C45" s="196"/>
      <c r="D45" s="196"/>
      <c r="E45" s="27"/>
    </row>
    <row r="46" spans="1:5" ht="14.25" customHeight="1">
      <c r="A46" s="211" t="s">
        <v>25</v>
      </c>
      <c r="B46" s="196"/>
      <c r="C46" s="196"/>
      <c r="D46" s="196"/>
      <c r="E46" s="196"/>
    </row>
    <row r="47" spans="1:5" ht="35.25" customHeight="1">
      <c r="A47" s="211"/>
      <c r="B47" s="196"/>
      <c r="C47" s="196"/>
      <c r="D47" s="196"/>
      <c r="E47" s="196"/>
    </row>
    <row r="48" spans="1:5" ht="15.75" customHeight="1">
      <c r="A48" s="211" t="s">
        <v>26</v>
      </c>
      <c r="B48" s="196"/>
      <c r="C48" s="196"/>
      <c r="D48" s="196"/>
      <c r="E48" s="196"/>
    </row>
    <row r="49" spans="1:5" ht="15.75" customHeight="1">
      <c r="A49" s="211" t="s">
        <v>27</v>
      </c>
      <c r="B49" s="196"/>
      <c r="C49" s="196"/>
      <c r="D49" s="196"/>
      <c r="E49" s="196"/>
    </row>
    <row r="50" spans="1:5" ht="15.75" customHeight="1">
      <c r="A50" s="211" t="s">
        <v>28</v>
      </c>
      <c r="B50" s="196"/>
      <c r="C50" s="196"/>
      <c r="D50" s="196"/>
      <c r="E50" s="196"/>
    </row>
  </sheetData>
  <mergeCells count="19">
    <mergeCell ref="A49:E49"/>
    <mergeCell ref="A50:E50"/>
    <mergeCell ref="A8:E8"/>
    <mergeCell ref="A9:E9"/>
    <mergeCell ref="A10:E10"/>
    <mergeCell ref="B42:D42"/>
    <mergeCell ref="A43:D43"/>
    <mergeCell ref="A44:E44"/>
    <mergeCell ref="A45:D45"/>
    <mergeCell ref="A6:E6"/>
    <mergeCell ref="A7:E7"/>
    <mergeCell ref="A46:E46"/>
    <mergeCell ref="A47:E47"/>
    <mergeCell ref="A48:E48"/>
    <mergeCell ref="A1:E1"/>
    <mergeCell ref="A2:E2"/>
    <mergeCell ref="A3:E3"/>
    <mergeCell ref="A4:E4"/>
    <mergeCell ref="A5:E5"/>
  </mergeCells>
  <conditionalFormatting sqref="E12:E41">
    <cfRule type="notContainsBlanks" dxfId="13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  <pageSetUpPr fitToPage="1"/>
  </sheetPr>
  <dimension ref="A1:E50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44.1640625" customWidth="1"/>
    <col min="4" max="4" width="31.6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7" t="s">
        <v>2475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2572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77" t="s">
        <v>1209</v>
      </c>
      <c r="B12" s="149" t="s">
        <v>2507</v>
      </c>
      <c r="C12" s="13" t="s">
        <v>1728</v>
      </c>
      <c r="D12" s="172" t="s">
        <v>2508</v>
      </c>
      <c r="E12" s="134">
        <v>14430</v>
      </c>
    </row>
    <row r="13" spans="1:5" ht="15.75" customHeight="1">
      <c r="A13" s="177" t="s">
        <v>1212</v>
      </c>
      <c r="B13" s="191" t="s">
        <v>2509</v>
      </c>
      <c r="C13" s="13" t="s">
        <v>2349</v>
      </c>
      <c r="D13" s="161" t="s">
        <v>2510</v>
      </c>
      <c r="E13" s="134">
        <v>191862</v>
      </c>
    </row>
    <row r="14" spans="1:5" ht="15.75" customHeight="1">
      <c r="A14" s="177" t="s">
        <v>1215</v>
      </c>
      <c r="B14" s="149" t="s">
        <v>2511</v>
      </c>
      <c r="C14" s="100" t="s">
        <v>1728</v>
      </c>
      <c r="D14" s="172" t="s">
        <v>2512</v>
      </c>
      <c r="E14" s="134">
        <v>13600</v>
      </c>
    </row>
    <row r="15" spans="1:5" ht="15.75" customHeight="1">
      <c r="A15" s="177" t="s">
        <v>1217</v>
      </c>
      <c r="B15" s="149" t="s">
        <v>2513</v>
      </c>
      <c r="C15" s="13" t="s">
        <v>21</v>
      </c>
      <c r="D15" s="172" t="s">
        <v>2514</v>
      </c>
      <c r="E15" s="134">
        <v>5700</v>
      </c>
    </row>
    <row r="16" spans="1:5" ht="15.75" customHeight="1">
      <c r="A16" s="177" t="s">
        <v>1221</v>
      </c>
      <c r="B16" s="149" t="s">
        <v>2515</v>
      </c>
      <c r="C16" s="13" t="s">
        <v>2516</v>
      </c>
      <c r="D16" s="161" t="s">
        <v>2517</v>
      </c>
      <c r="E16" s="134">
        <v>495930.5</v>
      </c>
    </row>
    <row r="17" spans="1:5" ht="15.75" customHeight="1">
      <c r="A17" s="177" t="s">
        <v>1224</v>
      </c>
      <c r="B17" s="149" t="s">
        <v>2518</v>
      </c>
      <c r="C17" s="13" t="s">
        <v>2516</v>
      </c>
      <c r="D17" s="161" t="s">
        <v>2519</v>
      </c>
      <c r="E17" s="134">
        <v>313072</v>
      </c>
    </row>
    <row r="18" spans="1:5" ht="15.75" customHeight="1">
      <c r="A18" s="177" t="s">
        <v>1226</v>
      </c>
      <c r="B18" s="149" t="s">
        <v>2520</v>
      </c>
      <c r="C18" s="13" t="s">
        <v>2521</v>
      </c>
      <c r="D18" s="161" t="s">
        <v>1275</v>
      </c>
      <c r="E18" s="134">
        <v>11800</v>
      </c>
    </row>
    <row r="19" spans="1:5" ht="15.75" customHeight="1">
      <c r="A19" s="177" t="s">
        <v>1228</v>
      </c>
      <c r="B19" s="149" t="s">
        <v>2522</v>
      </c>
      <c r="C19" s="13" t="s">
        <v>378</v>
      </c>
      <c r="D19" s="161" t="s">
        <v>2523</v>
      </c>
      <c r="E19" s="134">
        <v>12000</v>
      </c>
    </row>
    <row r="20" spans="1:5" ht="15.75" customHeight="1">
      <c r="A20" s="177" t="s">
        <v>1230</v>
      </c>
      <c r="B20" s="149" t="s">
        <v>2524</v>
      </c>
      <c r="C20" s="13" t="s">
        <v>783</v>
      </c>
      <c r="D20" s="161" t="s">
        <v>2525</v>
      </c>
      <c r="E20" s="134">
        <v>16950</v>
      </c>
    </row>
    <row r="21" spans="1:5" ht="15.75" customHeight="1">
      <c r="A21" s="177" t="s">
        <v>1232</v>
      </c>
      <c r="B21" s="149" t="s">
        <v>2526</v>
      </c>
      <c r="C21" s="13" t="s">
        <v>828</v>
      </c>
      <c r="D21" s="161" t="s">
        <v>2527</v>
      </c>
      <c r="E21" s="134">
        <v>43000</v>
      </c>
    </row>
    <row r="22" spans="1:5" ht="15.75" customHeight="1">
      <c r="A22" s="177" t="s">
        <v>1234</v>
      </c>
      <c r="B22" s="149" t="s">
        <v>2528</v>
      </c>
      <c r="C22" s="13" t="s">
        <v>2529</v>
      </c>
      <c r="D22" s="161" t="s">
        <v>2530</v>
      </c>
      <c r="E22" s="134">
        <v>14800</v>
      </c>
    </row>
    <row r="23" spans="1:5" ht="15.75" customHeight="1">
      <c r="A23" s="177" t="s">
        <v>1236</v>
      </c>
      <c r="B23" s="149" t="s">
        <v>2531</v>
      </c>
      <c r="C23" s="13" t="s">
        <v>2532</v>
      </c>
      <c r="D23" s="161" t="s">
        <v>2533</v>
      </c>
      <c r="E23" s="134">
        <v>3500</v>
      </c>
    </row>
    <row r="24" spans="1:5" ht="15.75" customHeight="1">
      <c r="A24" s="177" t="s">
        <v>1240</v>
      </c>
      <c r="B24" s="149" t="s">
        <v>2534</v>
      </c>
      <c r="C24" s="13" t="s">
        <v>2349</v>
      </c>
      <c r="D24" s="161" t="s">
        <v>2535</v>
      </c>
      <c r="E24" s="134">
        <v>69001</v>
      </c>
    </row>
    <row r="25" spans="1:5" ht="15.75" customHeight="1">
      <c r="A25" s="177" t="s">
        <v>1242</v>
      </c>
      <c r="B25" s="149" t="s">
        <v>2536</v>
      </c>
      <c r="C25" s="13" t="s">
        <v>2537</v>
      </c>
      <c r="D25" s="161" t="s">
        <v>2538</v>
      </c>
      <c r="E25" s="134">
        <v>38850</v>
      </c>
    </row>
    <row r="26" spans="1:5" ht="15.75" customHeight="1">
      <c r="A26" s="177" t="s">
        <v>1245</v>
      </c>
      <c r="B26" s="149" t="s">
        <v>2539</v>
      </c>
      <c r="C26" s="13" t="s">
        <v>1177</v>
      </c>
      <c r="D26" s="172" t="s">
        <v>2540</v>
      </c>
      <c r="E26" s="134">
        <v>175500</v>
      </c>
    </row>
    <row r="27" spans="1:5" ht="15.75" customHeight="1">
      <c r="A27" s="177" t="s">
        <v>1247</v>
      </c>
      <c r="B27" s="149" t="s">
        <v>2251</v>
      </c>
      <c r="C27" s="13" t="s">
        <v>1728</v>
      </c>
      <c r="D27" s="161" t="s">
        <v>2541</v>
      </c>
      <c r="E27" s="134">
        <v>11048</v>
      </c>
    </row>
    <row r="28" spans="1:5" ht="15.75" customHeight="1">
      <c r="A28" s="177" t="s">
        <v>1249</v>
      </c>
      <c r="B28" s="149" t="s">
        <v>2542</v>
      </c>
      <c r="C28" s="13" t="s">
        <v>1728</v>
      </c>
      <c r="D28" s="161" t="s">
        <v>2543</v>
      </c>
      <c r="E28" s="134">
        <v>14050</v>
      </c>
    </row>
    <row r="29" spans="1:5" ht="15.75" customHeight="1">
      <c r="A29" s="177" t="s">
        <v>1252</v>
      </c>
      <c r="B29" s="149" t="s">
        <v>2544</v>
      </c>
      <c r="C29" s="13" t="s">
        <v>51</v>
      </c>
      <c r="D29" s="161" t="s">
        <v>2545</v>
      </c>
      <c r="E29" s="134">
        <v>8257.92</v>
      </c>
    </row>
    <row r="30" spans="1:5" ht="15.75" customHeight="1">
      <c r="A30" s="177" t="s">
        <v>1255</v>
      </c>
      <c r="B30" s="149" t="s">
        <v>2546</v>
      </c>
      <c r="C30" s="13" t="s">
        <v>1177</v>
      </c>
      <c r="D30" s="161" t="s">
        <v>2547</v>
      </c>
      <c r="E30" s="134">
        <v>347500</v>
      </c>
    </row>
    <row r="31" spans="1:5" ht="15.75" customHeight="1">
      <c r="A31" s="177" t="s">
        <v>1257</v>
      </c>
      <c r="B31" s="149" t="s">
        <v>2548</v>
      </c>
      <c r="C31" s="13" t="s">
        <v>1759</v>
      </c>
      <c r="D31" s="161" t="s">
        <v>2549</v>
      </c>
      <c r="E31" s="134">
        <v>11000</v>
      </c>
    </row>
    <row r="32" spans="1:5" ht="15.75" customHeight="1">
      <c r="A32" s="177" t="s">
        <v>1259</v>
      </c>
      <c r="B32" s="149" t="s">
        <v>2550</v>
      </c>
      <c r="C32" s="13" t="s">
        <v>2349</v>
      </c>
      <c r="D32" s="161" t="s">
        <v>2551</v>
      </c>
      <c r="E32" s="134">
        <v>14795</v>
      </c>
    </row>
    <row r="33" spans="1:5" ht="15.75" customHeight="1">
      <c r="A33" s="177" t="s">
        <v>1263</v>
      </c>
      <c r="B33" s="149" t="s">
        <v>2552</v>
      </c>
      <c r="C33" s="13" t="s">
        <v>1130</v>
      </c>
      <c r="D33" s="172" t="s">
        <v>2553</v>
      </c>
      <c r="E33" s="134">
        <v>155000</v>
      </c>
    </row>
    <row r="34" spans="1:5" ht="15.75" customHeight="1">
      <c r="A34" s="177" t="s">
        <v>1267</v>
      </c>
      <c r="B34" s="149" t="s">
        <v>2554</v>
      </c>
      <c r="C34" s="13" t="s">
        <v>2555</v>
      </c>
      <c r="D34" s="172" t="s">
        <v>2556</v>
      </c>
      <c r="E34" s="134">
        <v>774197.25</v>
      </c>
    </row>
    <row r="35" spans="1:5" ht="15.75" customHeight="1">
      <c r="A35" s="177" t="s">
        <v>1270</v>
      </c>
      <c r="B35" s="149" t="s">
        <v>2557</v>
      </c>
      <c r="C35" s="13" t="s">
        <v>15</v>
      </c>
      <c r="D35" s="161" t="s">
        <v>2558</v>
      </c>
      <c r="E35" s="134">
        <v>23153.279999999999</v>
      </c>
    </row>
    <row r="36" spans="1:5" ht="15.75" customHeight="1">
      <c r="A36" s="177" t="s">
        <v>1273</v>
      </c>
      <c r="B36" s="149" t="s">
        <v>2559</v>
      </c>
      <c r="C36" s="13" t="s">
        <v>15</v>
      </c>
      <c r="D36" s="161" t="s">
        <v>2560</v>
      </c>
      <c r="E36" s="134">
        <v>16000</v>
      </c>
    </row>
    <row r="37" spans="1:5" ht="15.75" customHeight="1">
      <c r="A37" s="177" t="s">
        <v>1275</v>
      </c>
      <c r="B37" s="149" t="s">
        <v>2561</v>
      </c>
      <c r="C37" s="13" t="s">
        <v>15</v>
      </c>
      <c r="D37" s="172" t="s">
        <v>2562</v>
      </c>
      <c r="E37" s="134">
        <v>6369.48</v>
      </c>
    </row>
    <row r="38" spans="1:5" ht="15.75" customHeight="1">
      <c r="A38" s="177" t="s">
        <v>1278</v>
      </c>
      <c r="B38" s="149" t="s">
        <v>2563</v>
      </c>
      <c r="C38" s="13" t="s">
        <v>783</v>
      </c>
      <c r="D38" s="172" t="s">
        <v>2564</v>
      </c>
      <c r="E38" s="134">
        <v>36950</v>
      </c>
    </row>
    <row r="39" spans="1:5" ht="15.75" customHeight="1">
      <c r="A39" s="177" t="s">
        <v>1281</v>
      </c>
      <c r="B39" s="149" t="s">
        <v>2565</v>
      </c>
      <c r="C39" s="13" t="s">
        <v>1177</v>
      </c>
      <c r="D39" s="161" t="s">
        <v>2566</v>
      </c>
      <c r="E39" s="134">
        <v>207000</v>
      </c>
    </row>
    <row r="40" spans="1:5" ht="15.75" customHeight="1">
      <c r="A40" s="177" t="s">
        <v>1284</v>
      </c>
      <c r="B40" s="149" t="s">
        <v>2567</v>
      </c>
      <c r="C40" s="13" t="s">
        <v>2056</v>
      </c>
      <c r="D40" s="175" t="s">
        <v>2568</v>
      </c>
      <c r="E40" s="134">
        <v>69360</v>
      </c>
    </row>
    <row r="41" spans="1:5" ht="15.75" customHeight="1">
      <c r="A41" s="177" t="s">
        <v>1286</v>
      </c>
      <c r="B41" s="149" t="s">
        <v>2569</v>
      </c>
      <c r="C41" s="13" t="s">
        <v>378</v>
      </c>
      <c r="D41" s="172" t="s">
        <v>2570</v>
      </c>
      <c r="E41" s="134">
        <v>9776</v>
      </c>
    </row>
    <row r="42" spans="1:5" ht="15.75" customHeight="1">
      <c r="A42" s="108" t="s">
        <v>24</v>
      </c>
      <c r="B42" s="216"/>
      <c r="C42" s="204"/>
      <c r="D42" s="205"/>
      <c r="E42" s="49">
        <f>SUM(E12:E41)</f>
        <v>3124452.4299999997</v>
      </c>
    </row>
    <row r="43" spans="1:5" ht="15.75" customHeight="1">
      <c r="A43" s="217" t="s">
        <v>2571</v>
      </c>
      <c r="B43" s="204"/>
      <c r="C43" s="204"/>
      <c r="D43" s="205"/>
      <c r="E43" s="192">
        <f>E42*8%</f>
        <v>249956.19439999998</v>
      </c>
    </row>
    <row r="44" spans="1:5" ht="15.75" customHeight="1">
      <c r="A44" s="211"/>
      <c r="B44" s="196"/>
      <c r="C44" s="196"/>
      <c r="D44" s="196"/>
      <c r="E44" s="196"/>
    </row>
    <row r="45" spans="1:5" ht="15.75" customHeight="1">
      <c r="A45" s="211"/>
      <c r="B45" s="196"/>
      <c r="C45" s="196"/>
      <c r="D45" s="196"/>
      <c r="E45" s="27"/>
    </row>
    <row r="46" spans="1:5" ht="14.25" customHeight="1">
      <c r="A46" s="211" t="s">
        <v>25</v>
      </c>
      <c r="B46" s="196"/>
      <c r="C46" s="196"/>
      <c r="D46" s="196"/>
      <c r="E46" s="196"/>
    </row>
    <row r="47" spans="1:5" ht="35.25" customHeight="1">
      <c r="A47" s="211"/>
      <c r="B47" s="196"/>
      <c r="C47" s="196"/>
      <c r="D47" s="196"/>
      <c r="E47" s="196"/>
    </row>
    <row r="48" spans="1:5" ht="15.75" customHeight="1">
      <c r="A48" s="211" t="s">
        <v>26</v>
      </c>
      <c r="B48" s="196"/>
      <c r="C48" s="196"/>
      <c r="D48" s="196"/>
      <c r="E48" s="196"/>
    </row>
    <row r="49" spans="1:5" ht="15.75" customHeight="1">
      <c r="A49" s="211" t="s">
        <v>27</v>
      </c>
      <c r="B49" s="196"/>
      <c r="C49" s="196"/>
      <c r="D49" s="196"/>
      <c r="E49" s="196"/>
    </row>
    <row r="50" spans="1:5" ht="15.75" customHeight="1">
      <c r="A50" s="211" t="s">
        <v>28</v>
      </c>
      <c r="B50" s="196"/>
      <c r="C50" s="196"/>
      <c r="D50" s="196"/>
      <c r="E50" s="196"/>
    </row>
  </sheetData>
  <mergeCells count="19">
    <mergeCell ref="A49:E49"/>
    <mergeCell ref="A50:E50"/>
    <mergeCell ref="A8:E8"/>
    <mergeCell ref="A9:E9"/>
    <mergeCell ref="A10:E10"/>
    <mergeCell ref="B42:D42"/>
    <mergeCell ref="A43:D43"/>
    <mergeCell ref="A44:E44"/>
    <mergeCell ref="A45:D45"/>
    <mergeCell ref="A6:E6"/>
    <mergeCell ref="A7:E7"/>
    <mergeCell ref="A46:E46"/>
    <mergeCell ref="A47:E47"/>
    <mergeCell ref="A48:E48"/>
    <mergeCell ref="A1:E1"/>
    <mergeCell ref="A2:E2"/>
    <mergeCell ref="A3:E3"/>
    <mergeCell ref="A4:E4"/>
    <mergeCell ref="A5:E5"/>
  </mergeCells>
  <conditionalFormatting sqref="E12:E41">
    <cfRule type="notContainsBlanks" dxfId="12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  <pageSetUpPr fitToPage="1"/>
  </sheetPr>
  <dimension ref="A1:E70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57.6640625" customWidth="1"/>
    <col min="4" max="4" width="34.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7" t="s">
        <v>2475</v>
      </c>
      <c r="B2" s="196"/>
      <c r="C2" s="196"/>
      <c r="D2" s="196"/>
      <c r="E2" s="196"/>
    </row>
    <row r="3" spans="1:5" ht="15.75" customHeight="1">
      <c r="A3" s="215" t="s">
        <v>2</v>
      </c>
      <c r="B3" s="196"/>
      <c r="C3" s="196"/>
      <c r="D3" s="196"/>
      <c r="E3" s="196"/>
    </row>
    <row r="4" spans="1:5" ht="15.75" customHeight="1">
      <c r="A4" s="215" t="s">
        <v>3</v>
      </c>
      <c r="B4" s="196"/>
      <c r="C4" s="196"/>
      <c r="D4" s="196"/>
      <c r="E4" s="196"/>
    </row>
    <row r="5" spans="1:5" ht="15.75" customHeight="1">
      <c r="A5" s="215" t="s">
        <v>4</v>
      </c>
      <c r="B5" s="196"/>
      <c r="C5" s="196"/>
      <c r="D5" s="196"/>
      <c r="E5" s="196"/>
    </row>
    <row r="6" spans="1:5" ht="15.75" customHeight="1">
      <c r="A6" s="215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2573</v>
      </c>
      <c r="B9" s="196"/>
      <c r="C9" s="196"/>
      <c r="D9" s="196"/>
      <c r="E9" s="196"/>
    </row>
    <row r="10" spans="1:5" ht="15.75" customHeight="1">
      <c r="A10" s="212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77" t="s">
        <v>1209</v>
      </c>
      <c r="B12" s="149" t="s">
        <v>2574</v>
      </c>
      <c r="C12" s="13" t="s">
        <v>2575</v>
      </c>
      <c r="D12" s="172" t="s">
        <v>1316</v>
      </c>
      <c r="E12" s="134">
        <v>614250</v>
      </c>
    </row>
    <row r="13" spans="1:5" ht="15.75" customHeight="1">
      <c r="A13" s="177" t="s">
        <v>1212</v>
      </c>
      <c r="B13" s="149" t="s">
        <v>2576</v>
      </c>
      <c r="C13" s="13" t="s">
        <v>1165</v>
      </c>
      <c r="D13" s="171" t="s">
        <v>2577</v>
      </c>
      <c r="E13" s="134">
        <v>56492.800000000003</v>
      </c>
    </row>
    <row r="14" spans="1:5" ht="15.75" customHeight="1">
      <c r="A14" s="177" t="s">
        <v>1215</v>
      </c>
      <c r="B14" s="149" t="s">
        <v>2578</v>
      </c>
      <c r="C14" s="13" t="s">
        <v>783</v>
      </c>
      <c r="D14" s="171" t="s">
        <v>2579</v>
      </c>
      <c r="E14" s="134">
        <v>24350</v>
      </c>
    </row>
    <row r="15" spans="1:5" ht="15.75" customHeight="1">
      <c r="A15" s="177" t="s">
        <v>1217</v>
      </c>
      <c r="B15" s="149" t="s">
        <v>2477</v>
      </c>
      <c r="C15" s="13" t="s">
        <v>1177</v>
      </c>
      <c r="D15" s="175" t="s">
        <v>2580</v>
      </c>
      <c r="E15" s="134">
        <v>95000</v>
      </c>
    </row>
    <row r="16" spans="1:5" ht="15.75" customHeight="1">
      <c r="A16" s="177" t="s">
        <v>1221</v>
      </c>
      <c r="B16" s="149" t="s">
        <v>477</v>
      </c>
      <c r="C16" s="13" t="s">
        <v>2581</v>
      </c>
      <c r="D16" s="172" t="s">
        <v>2582</v>
      </c>
      <c r="E16" s="134">
        <v>7406</v>
      </c>
    </row>
    <row r="17" spans="1:5" ht="15.75" customHeight="1">
      <c r="A17" s="177" t="s">
        <v>1224</v>
      </c>
      <c r="B17" s="149" t="s">
        <v>2583</v>
      </c>
      <c r="C17" s="13" t="s">
        <v>1906</v>
      </c>
      <c r="D17" s="172" t="s">
        <v>2584</v>
      </c>
      <c r="E17" s="134">
        <v>64500</v>
      </c>
    </row>
    <row r="18" spans="1:5" ht="15.75" customHeight="1">
      <c r="A18" s="177" t="s">
        <v>1226</v>
      </c>
      <c r="B18" s="149" t="s">
        <v>2585</v>
      </c>
      <c r="C18" s="13" t="s">
        <v>2019</v>
      </c>
      <c r="D18" s="171" t="s">
        <v>2586</v>
      </c>
      <c r="E18" s="134">
        <v>54804</v>
      </c>
    </row>
    <row r="19" spans="1:5" ht="15.75" customHeight="1">
      <c r="A19" s="177" t="s">
        <v>1228</v>
      </c>
      <c r="B19" s="149" t="s">
        <v>2587</v>
      </c>
      <c r="C19" s="13" t="s">
        <v>2588</v>
      </c>
      <c r="D19" s="172" t="s">
        <v>2589</v>
      </c>
      <c r="E19" s="134">
        <v>292760</v>
      </c>
    </row>
    <row r="20" spans="1:5" ht="15.75" customHeight="1">
      <c r="A20" s="177" t="s">
        <v>1230</v>
      </c>
      <c r="B20" s="149" t="s">
        <v>2590</v>
      </c>
      <c r="C20" s="13" t="s">
        <v>2591</v>
      </c>
      <c r="D20" s="172" t="s">
        <v>2592</v>
      </c>
      <c r="E20" s="134">
        <v>95600</v>
      </c>
    </row>
    <row r="21" spans="1:5" ht="15.75" customHeight="1">
      <c r="A21" s="177" t="s">
        <v>1232</v>
      </c>
      <c r="B21" s="149" t="s">
        <v>2593</v>
      </c>
      <c r="C21" s="13" t="s">
        <v>2594</v>
      </c>
      <c r="D21" s="172" t="s">
        <v>2595</v>
      </c>
      <c r="E21" s="134">
        <v>47450</v>
      </c>
    </row>
    <row r="22" spans="1:5" ht="15.75" customHeight="1">
      <c r="A22" s="177" t="s">
        <v>1234</v>
      </c>
      <c r="B22" s="149" t="s">
        <v>2596</v>
      </c>
      <c r="C22" s="13" t="s">
        <v>877</v>
      </c>
      <c r="D22" s="172" t="s">
        <v>2597</v>
      </c>
      <c r="E22" s="134">
        <v>7200</v>
      </c>
    </row>
    <row r="23" spans="1:5" ht="15.75" customHeight="1">
      <c r="A23" s="177" t="s">
        <v>1236</v>
      </c>
      <c r="B23" s="149" t="s">
        <v>2598</v>
      </c>
      <c r="C23" s="13" t="s">
        <v>877</v>
      </c>
      <c r="D23" s="161" t="s">
        <v>2599</v>
      </c>
      <c r="E23" s="134">
        <v>12900</v>
      </c>
    </row>
    <row r="24" spans="1:5" ht="15.75" customHeight="1">
      <c r="A24" s="177" t="s">
        <v>1240</v>
      </c>
      <c r="B24" s="12" t="s">
        <v>2600</v>
      </c>
      <c r="C24" s="13" t="s">
        <v>1150</v>
      </c>
      <c r="D24" s="172" t="s">
        <v>2601</v>
      </c>
      <c r="E24" s="134">
        <v>31795.200000000001</v>
      </c>
    </row>
    <row r="25" spans="1:5" ht="15.75" customHeight="1">
      <c r="A25" s="177" t="s">
        <v>1242</v>
      </c>
      <c r="B25" s="12" t="s">
        <v>2602</v>
      </c>
      <c r="C25" s="13" t="s">
        <v>1150</v>
      </c>
      <c r="D25" s="172" t="s">
        <v>2603</v>
      </c>
      <c r="E25" s="134">
        <v>74450.7</v>
      </c>
    </row>
    <row r="26" spans="1:5" ht="15.75" customHeight="1">
      <c r="A26" s="177" t="s">
        <v>1245</v>
      </c>
      <c r="B26" s="12" t="s">
        <v>2604</v>
      </c>
      <c r="C26" s="13" t="s">
        <v>1150</v>
      </c>
      <c r="D26" s="172" t="s">
        <v>2605</v>
      </c>
      <c r="E26" s="134">
        <v>109897.2</v>
      </c>
    </row>
    <row r="27" spans="1:5" ht="15.75" customHeight="1">
      <c r="A27" s="177" t="s">
        <v>1247</v>
      </c>
      <c r="B27" s="12" t="s">
        <v>2606</v>
      </c>
      <c r="C27" s="13" t="s">
        <v>1150</v>
      </c>
      <c r="D27" s="172" t="s">
        <v>2607</v>
      </c>
      <c r="E27" s="134">
        <v>132766.20000000001</v>
      </c>
    </row>
    <row r="28" spans="1:5" ht="15.75" customHeight="1">
      <c r="A28" s="177" t="s">
        <v>1249</v>
      </c>
      <c r="B28" s="12" t="s">
        <v>2608</v>
      </c>
      <c r="C28" s="13" t="s">
        <v>1150</v>
      </c>
      <c r="D28" s="172" t="s">
        <v>2609</v>
      </c>
      <c r="E28" s="134">
        <v>99316.800000000003</v>
      </c>
    </row>
    <row r="29" spans="1:5" ht="15.75" customHeight="1">
      <c r="A29" s="177" t="s">
        <v>1252</v>
      </c>
      <c r="B29" s="149" t="s">
        <v>2610</v>
      </c>
      <c r="C29" s="13" t="s">
        <v>378</v>
      </c>
      <c r="D29" s="172" t="s">
        <v>2611</v>
      </c>
      <c r="E29" s="134">
        <v>4387.1000000000004</v>
      </c>
    </row>
    <row r="30" spans="1:5" ht="15.75" customHeight="1">
      <c r="A30" s="177" t="s">
        <v>1255</v>
      </c>
      <c r="B30" s="149" t="s">
        <v>2612</v>
      </c>
      <c r="C30" s="13" t="s">
        <v>378</v>
      </c>
      <c r="D30" s="172" t="s">
        <v>2613</v>
      </c>
      <c r="E30" s="134">
        <v>32608.7</v>
      </c>
    </row>
    <row r="31" spans="1:5" ht="15.75" customHeight="1">
      <c r="A31" s="177" t="s">
        <v>1257</v>
      </c>
      <c r="B31" s="149" t="s">
        <v>2614</v>
      </c>
      <c r="C31" s="13" t="s">
        <v>1608</v>
      </c>
      <c r="D31" s="172" t="s">
        <v>2615</v>
      </c>
      <c r="E31" s="134">
        <v>126750</v>
      </c>
    </row>
    <row r="32" spans="1:5" ht="15.75" customHeight="1">
      <c r="A32" s="177" t="s">
        <v>1259</v>
      </c>
      <c r="B32" s="149" t="s">
        <v>2616</v>
      </c>
      <c r="C32" s="13" t="s">
        <v>2051</v>
      </c>
      <c r="D32" s="161" t="s">
        <v>2617</v>
      </c>
      <c r="E32" s="134">
        <v>8530</v>
      </c>
    </row>
    <row r="33" spans="1:5" ht="15.75" customHeight="1">
      <c r="A33" s="177" t="s">
        <v>1263</v>
      </c>
      <c r="B33" s="149" t="s">
        <v>2618</v>
      </c>
      <c r="C33" s="13" t="s">
        <v>2619</v>
      </c>
      <c r="D33" s="161" t="s">
        <v>2209</v>
      </c>
      <c r="E33" s="134">
        <v>24600</v>
      </c>
    </row>
    <row r="34" spans="1:5" ht="15.75" customHeight="1">
      <c r="A34" s="177" t="s">
        <v>1267</v>
      </c>
      <c r="B34" s="149" t="s">
        <v>2620</v>
      </c>
      <c r="C34" s="13" t="s">
        <v>1177</v>
      </c>
      <c r="D34" s="172" t="s">
        <v>2621</v>
      </c>
      <c r="E34" s="134">
        <v>1217500</v>
      </c>
    </row>
    <row r="35" spans="1:5" ht="15.75" customHeight="1">
      <c r="A35" s="177" t="s">
        <v>1270</v>
      </c>
      <c r="B35" s="12" t="s">
        <v>2622</v>
      </c>
      <c r="C35" s="13" t="s">
        <v>1177</v>
      </c>
      <c r="D35" s="172" t="s">
        <v>2623</v>
      </c>
      <c r="E35" s="134">
        <v>215500</v>
      </c>
    </row>
    <row r="36" spans="1:5" ht="15.75" customHeight="1">
      <c r="A36" s="177" t="s">
        <v>1273</v>
      </c>
      <c r="B36" s="149" t="s">
        <v>2624</v>
      </c>
      <c r="C36" s="13" t="s">
        <v>634</v>
      </c>
      <c r="D36" s="172" t="s">
        <v>2625</v>
      </c>
      <c r="E36" s="134">
        <v>17528</v>
      </c>
    </row>
    <row r="37" spans="1:5" ht="15.75" customHeight="1">
      <c r="A37" s="177" t="s">
        <v>1275</v>
      </c>
      <c r="B37" s="12" t="s">
        <v>2626</v>
      </c>
      <c r="C37" s="13" t="s">
        <v>2627</v>
      </c>
      <c r="D37" s="172" t="s">
        <v>2628</v>
      </c>
      <c r="E37" s="134">
        <v>136000</v>
      </c>
    </row>
    <row r="38" spans="1:5" ht="15.75" customHeight="1">
      <c r="A38" s="177" t="s">
        <v>1278</v>
      </c>
      <c r="B38" s="149" t="s">
        <v>2629</v>
      </c>
      <c r="C38" s="13" t="s">
        <v>45</v>
      </c>
      <c r="D38" s="172" t="s">
        <v>2630</v>
      </c>
      <c r="E38" s="134">
        <v>74436</v>
      </c>
    </row>
    <row r="39" spans="1:5" ht="15.75" customHeight="1">
      <c r="A39" s="177" t="s">
        <v>1281</v>
      </c>
      <c r="B39" s="149" t="s">
        <v>2631</v>
      </c>
      <c r="C39" s="13" t="s">
        <v>1679</v>
      </c>
      <c r="D39" s="172" t="s">
        <v>2632</v>
      </c>
      <c r="E39" s="134">
        <v>7548</v>
      </c>
    </row>
    <row r="40" spans="1:5" ht="15.75" customHeight="1">
      <c r="A40" s="177" t="s">
        <v>1284</v>
      </c>
      <c r="B40" s="149" t="s">
        <v>2633</v>
      </c>
      <c r="C40" s="13" t="s">
        <v>2634</v>
      </c>
      <c r="D40" s="172" t="s">
        <v>2635</v>
      </c>
      <c r="E40" s="134">
        <v>52280</v>
      </c>
    </row>
    <row r="41" spans="1:5" ht="15.75" customHeight="1">
      <c r="A41" s="177" t="s">
        <v>1286</v>
      </c>
      <c r="B41" s="149" t="s">
        <v>2636</v>
      </c>
      <c r="C41" s="13" t="s">
        <v>2637</v>
      </c>
      <c r="D41" s="172" t="s">
        <v>2638</v>
      </c>
      <c r="E41" s="134">
        <v>170150</v>
      </c>
    </row>
    <row r="42" spans="1:5" ht="15.75" customHeight="1">
      <c r="A42" s="177" t="s">
        <v>1288</v>
      </c>
      <c r="B42" s="149" t="s">
        <v>2639</v>
      </c>
      <c r="C42" s="13" t="s">
        <v>1177</v>
      </c>
      <c r="D42" s="172" t="s">
        <v>2640</v>
      </c>
      <c r="E42" s="134">
        <v>55000</v>
      </c>
    </row>
    <row r="43" spans="1:5" ht="15.75" customHeight="1">
      <c r="A43" s="177" t="s">
        <v>1290</v>
      </c>
      <c r="B43" s="149" t="s">
        <v>2641</v>
      </c>
      <c r="C43" s="13" t="s">
        <v>2642</v>
      </c>
      <c r="D43" s="172" t="s">
        <v>2643</v>
      </c>
      <c r="E43" s="134">
        <v>2726</v>
      </c>
    </row>
    <row r="44" spans="1:5" ht="15.75" customHeight="1">
      <c r="A44" s="177" t="s">
        <v>1293</v>
      </c>
      <c r="B44" s="149" t="s">
        <v>2644</v>
      </c>
      <c r="C44" s="13" t="s">
        <v>1848</v>
      </c>
      <c r="D44" s="172" t="s">
        <v>2645</v>
      </c>
      <c r="E44" s="134">
        <v>105000</v>
      </c>
    </row>
    <row r="45" spans="1:5" ht="15.75" customHeight="1">
      <c r="A45" s="177" t="s">
        <v>1295</v>
      </c>
      <c r="B45" s="149" t="s">
        <v>2646</v>
      </c>
      <c r="C45" s="13" t="s">
        <v>1906</v>
      </c>
      <c r="D45" s="172" t="s">
        <v>2647</v>
      </c>
      <c r="E45" s="134">
        <v>53350</v>
      </c>
    </row>
    <row r="46" spans="1:5" ht="15.75" customHeight="1">
      <c r="A46" s="177" t="s">
        <v>1297</v>
      </c>
      <c r="B46" s="149" t="s">
        <v>2648</v>
      </c>
      <c r="C46" s="13" t="s">
        <v>2649</v>
      </c>
      <c r="D46" s="172" t="s">
        <v>2650</v>
      </c>
      <c r="E46" s="134">
        <v>88242</v>
      </c>
    </row>
    <row r="47" spans="1:5" ht="15.75" customHeight="1">
      <c r="A47" s="177" t="s">
        <v>1301</v>
      </c>
      <c r="B47" s="149" t="s">
        <v>2651</v>
      </c>
      <c r="C47" s="13" t="s">
        <v>2114</v>
      </c>
      <c r="D47" s="172" t="s">
        <v>2652</v>
      </c>
      <c r="E47" s="134">
        <v>68569.38</v>
      </c>
    </row>
    <row r="48" spans="1:5" ht="15.75" customHeight="1">
      <c r="A48" s="177" t="s">
        <v>1303</v>
      </c>
      <c r="B48" s="149" t="s">
        <v>2653</v>
      </c>
      <c r="C48" s="13" t="s">
        <v>2051</v>
      </c>
      <c r="D48" s="172" t="s">
        <v>2654</v>
      </c>
      <c r="E48" s="134">
        <v>3739</v>
      </c>
    </row>
    <row r="49" spans="1:5" ht="15.75" customHeight="1">
      <c r="A49" s="177" t="s">
        <v>1306</v>
      </c>
      <c r="B49" s="149" t="s">
        <v>2655</v>
      </c>
      <c r="C49" s="13" t="s">
        <v>828</v>
      </c>
      <c r="D49" s="172" t="s">
        <v>2656</v>
      </c>
      <c r="E49" s="134">
        <v>36000</v>
      </c>
    </row>
    <row r="50" spans="1:5" ht="15.75" customHeight="1">
      <c r="A50" s="177" t="s">
        <v>1310</v>
      </c>
      <c r="B50" s="149" t="s">
        <v>2088</v>
      </c>
      <c r="C50" s="172" t="s">
        <v>619</v>
      </c>
      <c r="D50" s="172" t="s">
        <v>2657</v>
      </c>
      <c r="E50" s="134">
        <v>1504000</v>
      </c>
    </row>
    <row r="51" spans="1:5" ht="15.75" customHeight="1">
      <c r="A51" s="177" t="s">
        <v>1312</v>
      </c>
      <c r="B51" s="149" t="s">
        <v>2658</v>
      </c>
      <c r="C51" s="13" t="s">
        <v>1992</v>
      </c>
      <c r="D51" s="161" t="s">
        <v>2659</v>
      </c>
      <c r="E51" s="134">
        <v>8027.34</v>
      </c>
    </row>
    <row r="52" spans="1:5" ht="15.75" customHeight="1">
      <c r="A52" s="177" t="s">
        <v>1314</v>
      </c>
      <c r="B52" s="149" t="s">
        <v>2660</v>
      </c>
      <c r="C52" s="13" t="s">
        <v>1992</v>
      </c>
      <c r="D52" s="172" t="s">
        <v>2661</v>
      </c>
      <c r="E52" s="134">
        <v>74231.759999999995</v>
      </c>
    </row>
    <row r="53" spans="1:5" ht="15.75" customHeight="1">
      <c r="A53" s="177" t="s">
        <v>1316</v>
      </c>
      <c r="B53" s="149" t="s">
        <v>2662</v>
      </c>
      <c r="C53" s="13" t="s">
        <v>783</v>
      </c>
      <c r="D53" s="172" t="s">
        <v>632</v>
      </c>
      <c r="E53" s="134">
        <v>4320</v>
      </c>
    </row>
    <row r="54" spans="1:5" ht="15.75" customHeight="1">
      <c r="A54" s="177" t="s">
        <v>1319</v>
      </c>
      <c r="B54" s="149" t="s">
        <v>2663</v>
      </c>
      <c r="C54" s="13" t="s">
        <v>2138</v>
      </c>
      <c r="D54" s="172" t="s">
        <v>2664</v>
      </c>
      <c r="E54" s="134">
        <v>129600</v>
      </c>
    </row>
    <row r="55" spans="1:5" ht="15.75" customHeight="1">
      <c r="A55" s="177" t="s">
        <v>1322</v>
      </c>
      <c r="B55" s="149" t="s">
        <v>2665</v>
      </c>
      <c r="C55" s="13" t="s">
        <v>378</v>
      </c>
      <c r="D55" s="172" t="s">
        <v>2666</v>
      </c>
      <c r="E55" s="134">
        <v>58825.78</v>
      </c>
    </row>
    <row r="56" spans="1:5" ht="15.75" customHeight="1">
      <c r="A56" s="177" t="s">
        <v>1324</v>
      </c>
      <c r="B56" s="149" t="s">
        <v>2667</v>
      </c>
      <c r="C56" s="13" t="s">
        <v>2668</v>
      </c>
      <c r="D56" s="171" t="s">
        <v>2669</v>
      </c>
      <c r="E56" s="134">
        <v>142954</v>
      </c>
    </row>
    <row r="57" spans="1:5" ht="15.75" customHeight="1">
      <c r="A57" s="177" t="s">
        <v>1326</v>
      </c>
      <c r="B57" s="149" t="s">
        <v>2670</v>
      </c>
      <c r="C57" s="13" t="s">
        <v>2671</v>
      </c>
      <c r="D57" s="171" t="s">
        <v>2672</v>
      </c>
      <c r="E57" s="134">
        <v>14400</v>
      </c>
    </row>
    <row r="58" spans="1:5" ht="15.75" customHeight="1">
      <c r="A58" s="177" t="s">
        <v>1328</v>
      </c>
      <c r="B58" s="149" t="s">
        <v>2673</v>
      </c>
      <c r="C58" s="13" t="s">
        <v>2051</v>
      </c>
      <c r="D58" s="161" t="s">
        <v>2674</v>
      </c>
      <c r="E58" s="134">
        <v>13604</v>
      </c>
    </row>
    <row r="59" spans="1:5" ht="15.75" customHeight="1">
      <c r="A59" s="177" t="s">
        <v>1331</v>
      </c>
      <c r="B59" s="149" t="s">
        <v>2675</v>
      </c>
      <c r="C59" s="13" t="s">
        <v>133</v>
      </c>
      <c r="D59" s="172" t="s">
        <v>2595</v>
      </c>
      <c r="E59" s="134">
        <v>30000</v>
      </c>
    </row>
    <row r="60" spans="1:5" ht="15.75" customHeight="1">
      <c r="A60" s="177" t="s">
        <v>1334</v>
      </c>
      <c r="B60" s="149" t="s">
        <v>2676</v>
      </c>
      <c r="C60" s="13" t="s">
        <v>1815</v>
      </c>
      <c r="D60" s="172" t="s">
        <v>2677</v>
      </c>
      <c r="E60" s="134">
        <v>107291.51</v>
      </c>
    </row>
    <row r="61" spans="1:5" ht="15.75" customHeight="1">
      <c r="A61" s="177" t="s">
        <v>1337</v>
      </c>
      <c r="B61" s="149" t="s">
        <v>2678</v>
      </c>
      <c r="C61" s="13" t="s">
        <v>2679</v>
      </c>
      <c r="D61" s="172" t="s">
        <v>2680</v>
      </c>
      <c r="E61" s="134">
        <v>12000</v>
      </c>
    </row>
    <row r="62" spans="1:5" ht="15.75" customHeight="1">
      <c r="A62" s="105" t="s">
        <v>24</v>
      </c>
      <c r="B62" s="216"/>
      <c r="C62" s="204"/>
      <c r="D62" s="205"/>
      <c r="E62" s="49">
        <f>SUM(E12:E61)</f>
        <v>6420637.4699999997</v>
      </c>
    </row>
    <row r="63" spans="1:5" ht="15.75" customHeight="1">
      <c r="A63" s="218" t="s">
        <v>2681</v>
      </c>
      <c r="B63" s="204"/>
      <c r="C63" s="204"/>
      <c r="D63" s="205"/>
      <c r="E63" s="192">
        <f>IF(E62&gt;=10000000,5000000*2%+5000000*1%+(E62-10000000)*1%,IF(E62&gt;=5000000,5000000*2%+(E62-5000000)*1%,E62*2%))</f>
        <v>114206.3747</v>
      </c>
    </row>
    <row r="64" spans="1:5" ht="15.75" customHeight="1">
      <c r="A64" s="212"/>
      <c r="B64" s="196"/>
      <c r="C64" s="196"/>
      <c r="D64" s="196"/>
      <c r="E64" s="196"/>
    </row>
    <row r="65" spans="1:5" ht="15.75" customHeight="1">
      <c r="A65" s="212"/>
      <c r="B65" s="196"/>
      <c r="C65" s="196"/>
      <c r="D65" s="196"/>
      <c r="E65" s="27"/>
    </row>
    <row r="66" spans="1:5" ht="14.25" customHeight="1">
      <c r="A66" s="212" t="s">
        <v>25</v>
      </c>
      <c r="B66" s="196"/>
      <c r="C66" s="196"/>
      <c r="D66" s="196"/>
      <c r="E66" s="196"/>
    </row>
    <row r="67" spans="1:5" ht="35.25" customHeight="1">
      <c r="A67" s="212"/>
      <c r="B67" s="196"/>
      <c r="C67" s="196"/>
      <c r="D67" s="196"/>
      <c r="E67" s="196"/>
    </row>
    <row r="68" spans="1:5" ht="15.75" customHeight="1">
      <c r="A68" s="212" t="s">
        <v>26</v>
      </c>
      <c r="B68" s="196"/>
      <c r="C68" s="196"/>
      <c r="D68" s="196"/>
      <c r="E68" s="196"/>
    </row>
    <row r="69" spans="1:5" ht="15.75" customHeight="1">
      <c r="A69" s="212" t="s">
        <v>27</v>
      </c>
      <c r="B69" s="196"/>
      <c r="C69" s="196"/>
      <c r="D69" s="196"/>
      <c r="E69" s="196"/>
    </row>
    <row r="70" spans="1:5" ht="15.75" customHeight="1">
      <c r="A70" s="212" t="s">
        <v>28</v>
      </c>
      <c r="B70" s="196"/>
      <c r="C70" s="196"/>
      <c r="D70" s="196"/>
      <c r="E70" s="196"/>
    </row>
  </sheetData>
  <mergeCells count="19">
    <mergeCell ref="A69:E69"/>
    <mergeCell ref="A70:E70"/>
    <mergeCell ref="A8:E8"/>
    <mergeCell ref="A9:E9"/>
    <mergeCell ref="A10:E10"/>
    <mergeCell ref="B62:D62"/>
    <mergeCell ref="A63:D63"/>
    <mergeCell ref="A64:E64"/>
    <mergeCell ref="A65:D65"/>
    <mergeCell ref="A6:E6"/>
    <mergeCell ref="A7:E7"/>
    <mergeCell ref="A66:E66"/>
    <mergeCell ref="A67:E67"/>
    <mergeCell ref="A68:E68"/>
    <mergeCell ref="A1:E1"/>
    <mergeCell ref="A2:E2"/>
    <mergeCell ref="A3:E3"/>
    <mergeCell ref="A4:E4"/>
    <mergeCell ref="A5:E5"/>
  </mergeCells>
  <conditionalFormatting sqref="E12:E61">
    <cfRule type="notContainsBlanks" dxfId="11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  <pageSetUpPr fitToPage="1"/>
  </sheetPr>
  <dimension ref="A1:E56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57.6640625" customWidth="1"/>
    <col min="4" max="4" width="30.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7" t="s">
        <v>2475</v>
      </c>
      <c r="B2" s="196"/>
      <c r="C2" s="196"/>
      <c r="D2" s="196"/>
      <c r="E2" s="196"/>
    </row>
    <row r="3" spans="1:5" ht="15.75" customHeight="1">
      <c r="A3" s="215" t="s">
        <v>2</v>
      </c>
      <c r="B3" s="196"/>
      <c r="C3" s="196"/>
      <c r="D3" s="196"/>
      <c r="E3" s="196"/>
    </row>
    <row r="4" spans="1:5" ht="15.75" customHeight="1">
      <c r="A4" s="215" t="s">
        <v>3</v>
      </c>
      <c r="B4" s="196"/>
      <c r="C4" s="196"/>
      <c r="D4" s="196"/>
      <c r="E4" s="196"/>
    </row>
    <row r="5" spans="1:5" ht="15.75" customHeight="1">
      <c r="A5" s="215" t="s">
        <v>4</v>
      </c>
      <c r="B5" s="196"/>
      <c r="C5" s="196"/>
      <c r="D5" s="196"/>
      <c r="E5" s="196"/>
    </row>
    <row r="6" spans="1:5" ht="15.75" customHeight="1">
      <c r="A6" s="215" t="s">
        <v>5</v>
      </c>
      <c r="B6" s="196"/>
      <c r="C6" s="196"/>
      <c r="D6" s="196"/>
      <c r="E6" s="196"/>
    </row>
    <row r="7" spans="1:5" ht="15.75" customHeight="1">
      <c r="A7" s="210" t="s">
        <v>6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2682</v>
      </c>
      <c r="B9" s="196"/>
      <c r="C9" s="196"/>
      <c r="D9" s="196"/>
      <c r="E9" s="196"/>
    </row>
    <row r="10" spans="1:5" ht="15.75" customHeight="1">
      <c r="A10" s="212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77" t="s">
        <v>1209</v>
      </c>
      <c r="B12" s="149" t="s">
        <v>2576</v>
      </c>
      <c r="C12" s="13" t="s">
        <v>1165</v>
      </c>
      <c r="D12" s="171" t="s">
        <v>2577</v>
      </c>
      <c r="E12" s="134">
        <v>56492.800000000003</v>
      </c>
    </row>
    <row r="13" spans="1:5" ht="15.75" customHeight="1">
      <c r="A13" s="177" t="s">
        <v>1212</v>
      </c>
      <c r="B13" s="149" t="s">
        <v>2578</v>
      </c>
      <c r="C13" s="13" t="s">
        <v>783</v>
      </c>
      <c r="D13" s="171" t="s">
        <v>2579</v>
      </c>
      <c r="E13" s="134">
        <v>24350</v>
      </c>
    </row>
    <row r="14" spans="1:5" ht="15.75" customHeight="1">
      <c r="A14" s="177" t="s">
        <v>1215</v>
      </c>
      <c r="B14" s="149" t="s">
        <v>2477</v>
      </c>
      <c r="C14" s="13" t="s">
        <v>1177</v>
      </c>
      <c r="D14" s="175" t="s">
        <v>2580</v>
      </c>
      <c r="E14" s="134">
        <v>95000</v>
      </c>
    </row>
    <row r="15" spans="1:5" ht="15.75" customHeight="1">
      <c r="A15" s="177" t="s">
        <v>1217</v>
      </c>
      <c r="B15" s="149" t="s">
        <v>2583</v>
      </c>
      <c r="C15" s="13" t="s">
        <v>1906</v>
      </c>
      <c r="D15" s="172" t="s">
        <v>2584</v>
      </c>
      <c r="E15" s="134">
        <v>64500</v>
      </c>
    </row>
    <row r="16" spans="1:5" ht="15.75" customHeight="1">
      <c r="A16" s="177" t="s">
        <v>1221</v>
      </c>
      <c r="B16" s="149" t="s">
        <v>2585</v>
      </c>
      <c r="C16" s="13" t="s">
        <v>2019</v>
      </c>
      <c r="D16" s="171" t="s">
        <v>2586</v>
      </c>
      <c r="E16" s="134">
        <v>54804</v>
      </c>
    </row>
    <row r="17" spans="1:5" ht="15.75" customHeight="1">
      <c r="A17" s="177" t="s">
        <v>1224</v>
      </c>
      <c r="B17" s="149" t="s">
        <v>2587</v>
      </c>
      <c r="C17" s="13" t="s">
        <v>2588</v>
      </c>
      <c r="D17" s="172" t="s">
        <v>2589</v>
      </c>
      <c r="E17" s="134">
        <v>292760</v>
      </c>
    </row>
    <row r="18" spans="1:5" ht="15.75" customHeight="1">
      <c r="A18" s="177" t="s">
        <v>1226</v>
      </c>
      <c r="B18" s="149" t="s">
        <v>2590</v>
      </c>
      <c r="C18" s="13" t="s">
        <v>2591</v>
      </c>
      <c r="D18" s="172" t="s">
        <v>2592</v>
      </c>
      <c r="E18" s="134">
        <v>95600</v>
      </c>
    </row>
    <row r="19" spans="1:5" ht="15.75" customHeight="1">
      <c r="A19" s="177" t="s">
        <v>1228</v>
      </c>
      <c r="B19" s="149" t="s">
        <v>2593</v>
      </c>
      <c r="C19" s="13" t="s">
        <v>2594</v>
      </c>
      <c r="D19" s="172" t="s">
        <v>2595</v>
      </c>
      <c r="E19" s="134">
        <v>47450</v>
      </c>
    </row>
    <row r="20" spans="1:5" ht="15.75" customHeight="1">
      <c r="A20" s="177" t="s">
        <v>1230</v>
      </c>
      <c r="B20" s="149" t="s">
        <v>2596</v>
      </c>
      <c r="C20" s="13" t="s">
        <v>877</v>
      </c>
      <c r="D20" s="172" t="s">
        <v>2597</v>
      </c>
      <c r="E20" s="134">
        <v>7200</v>
      </c>
    </row>
    <row r="21" spans="1:5" ht="15.75" customHeight="1">
      <c r="A21" s="177" t="s">
        <v>1232</v>
      </c>
      <c r="B21" s="149" t="s">
        <v>2598</v>
      </c>
      <c r="C21" s="13" t="s">
        <v>877</v>
      </c>
      <c r="D21" s="161" t="s">
        <v>2599</v>
      </c>
      <c r="E21" s="134">
        <v>12900</v>
      </c>
    </row>
    <row r="22" spans="1:5" ht="15.75" customHeight="1">
      <c r="A22" s="177" t="s">
        <v>1234</v>
      </c>
      <c r="B22" s="12" t="s">
        <v>2600</v>
      </c>
      <c r="C22" s="13" t="s">
        <v>1150</v>
      </c>
      <c r="D22" s="172" t="s">
        <v>2601</v>
      </c>
      <c r="E22" s="134">
        <v>31795.200000000001</v>
      </c>
    </row>
    <row r="23" spans="1:5" ht="15.75" customHeight="1">
      <c r="A23" s="177" t="s">
        <v>1236</v>
      </c>
      <c r="B23" s="12" t="s">
        <v>2602</v>
      </c>
      <c r="C23" s="13" t="s">
        <v>1150</v>
      </c>
      <c r="D23" s="172" t="s">
        <v>2603</v>
      </c>
      <c r="E23" s="134">
        <v>74450.7</v>
      </c>
    </row>
    <row r="24" spans="1:5" ht="15.75" customHeight="1">
      <c r="A24" s="177" t="s">
        <v>1240</v>
      </c>
      <c r="B24" s="12" t="s">
        <v>2604</v>
      </c>
      <c r="C24" s="13" t="s">
        <v>1150</v>
      </c>
      <c r="D24" s="172" t="s">
        <v>2605</v>
      </c>
      <c r="E24" s="134">
        <v>109897.2</v>
      </c>
    </row>
    <row r="25" spans="1:5" ht="15.75" customHeight="1">
      <c r="A25" s="177" t="s">
        <v>1242</v>
      </c>
      <c r="B25" s="12" t="s">
        <v>2606</v>
      </c>
      <c r="C25" s="13" t="s">
        <v>1150</v>
      </c>
      <c r="D25" s="172" t="s">
        <v>2607</v>
      </c>
      <c r="E25" s="134">
        <v>132766.20000000001</v>
      </c>
    </row>
    <row r="26" spans="1:5" ht="15.75" customHeight="1">
      <c r="A26" s="177" t="s">
        <v>1245</v>
      </c>
      <c r="B26" s="149" t="s">
        <v>2616</v>
      </c>
      <c r="C26" s="13" t="s">
        <v>2051</v>
      </c>
      <c r="D26" s="161" t="s">
        <v>2617</v>
      </c>
      <c r="E26" s="134">
        <v>8530</v>
      </c>
    </row>
    <row r="27" spans="1:5" ht="15.75" customHeight="1">
      <c r="A27" s="177" t="s">
        <v>1247</v>
      </c>
      <c r="B27" s="12" t="s">
        <v>2622</v>
      </c>
      <c r="C27" s="13" t="s">
        <v>1177</v>
      </c>
      <c r="D27" s="172" t="s">
        <v>2623</v>
      </c>
      <c r="E27" s="134">
        <v>215500</v>
      </c>
    </row>
    <row r="28" spans="1:5" ht="15.75" customHeight="1">
      <c r="A28" s="177" t="s">
        <v>1249</v>
      </c>
      <c r="B28" s="149" t="s">
        <v>2624</v>
      </c>
      <c r="C28" s="13" t="s">
        <v>634</v>
      </c>
      <c r="D28" s="172" t="s">
        <v>2625</v>
      </c>
      <c r="E28" s="134">
        <v>17528</v>
      </c>
    </row>
    <row r="29" spans="1:5" ht="15.75" customHeight="1">
      <c r="A29" s="177" t="s">
        <v>1252</v>
      </c>
      <c r="B29" s="12" t="s">
        <v>2626</v>
      </c>
      <c r="C29" s="13" t="s">
        <v>2627</v>
      </c>
      <c r="D29" s="172" t="s">
        <v>2628</v>
      </c>
      <c r="E29" s="134">
        <v>136000</v>
      </c>
    </row>
    <row r="30" spans="1:5" ht="15.75" customHeight="1">
      <c r="A30" s="177" t="s">
        <v>1255</v>
      </c>
      <c r="B30" s="149" t="s">
        <v>2629</v>
      </c>
      <c r="C30" s="13" t="s">
        <v>45</v>
      </c>
      <c r="D30" s="172" t="s">
        <v>2630</v>
      </c>
      <c r="E30" s="134">
        <v>74436</v>
      </c>
    </row>
    <row r="31" spans="1:5" ht="15.75" customHeight="1">
      <c r="A31" s="177" t="s">
        <v>1257</v>
      </c>
      <c r="B31" s="149" t="s">
        <v>2631</v>
      </c>
      <c r="C31" s="13" t="s">
        <v>1679</v>
      </c>
      <c r="D31" s="172" t="s">
        <v>2632</v>
      </c>
      <c r="E31" s="134">
        <v>7548</v>
      </c>
    </row>
    <row r="32" spans="1:5" ht="15.75" customHeight="1">
      <c r="A32" s="177" t="s">
        <v>1259</v>
      </c>
      <c r="B32" s="149" t="s">
        <v>2633</v>
      </c>
      <c r="C32" s="13" t="s">
        <v>2634</v>
      </c>
      <c r="D32" s="172" t="s">
        <v>2635</v>
      </c>
      <c r="E32" s="134">
        <v>52280</v>
      </c>
    </row>
    <row r="33" spans="1:5" ht="15.75" customHeight="1">
      <c r="A33" s="177" t="s">
        <v>1263</v>
      </c>
      <c r="B33" s="149" t="s">
        <v>2636</v>
      </c>
      <c r="C33" s="13" t="s">
        <v>2637</v>
      </c>
      <c r="D33" s="172" t="s">
        <v>2638</v>
      </c>
      <c r="E33" s="134">
        <v>170150</v>
      </c>
    </row>
    <row r="34" spans="1:5" ht="15.75" customHeight="1">
      <c r="A34" s="177" t="s">
        <v>1267</v>
      </c>
      <c r="B34" s="149" t="s">
        <v>2644</v>
      </c>
      <c r="C34" s="13" t="s">
        <v>1848</v>
      </c>
      <c r="D34" s="172" t="s">
        <v>2645</v>
      </c>
      <c r="E34" s="134">
        <v>105000</v>
      </c>
    </row>
    <row r="35" spans="1:5" ht="15.75" customHeight="1">
      <c r="A35" s="177" t="s">
        <v>1270</v>
      </c>
      <c r="B35" s="149" t="s">
        <v>2646</v>
      </c>
      <c r="C35" s="13" t="s">
        <v>1906</v>
      </c>
      <c r="D35" s="172" t="s">
        <v>2647</v>
      </c>
      <c r="E35" s="134">
        <v>53350</v>
      </c>
    </row>
    <row r="36" spans="1:5" ht="15.75" customHeight="1">
      <c r="A36" s="177" t="s">
        <v>1273</v>
      </c>
      <c r="B36" s="149" t="s">
        <v>2648</v>
      </c>
      <c r="C36" s="13" t="s">
        <v>2649</v>
      </c>
      <c r="D36" s="172" t="s">
        <v>2650</v>
      </c>
      <c r="E36" s="134">
        <v>88242</v>
      </c>
    </row>
    <row r="37" spans="1:5" ht="15.75" customHeight="1">
      <c r="A37" s="177" t="s">
        <v>1275</v>
      </c>
      <c r="B37" s="149" t="s">
        <v>2653</v>
      </c>
      <c r="C37" s="13" t="s">
        <v>2051</v>
      </c>
      <c r="D37" s="172" t="s">
        <v>2654</v>
      </c>
      <c r="E37" s="134">
        <v>3739</v>
      </c>
    </row>
    <row r="38" spans="1:5" ht="15.75" customHeight="1">
      <c r="A38" s="177" t="s">
        <v>1278</v>
      </c>
      <c r="B38" s="149" t="s">
        <v>2655</v>
      </c>
      <c r="C38" s="13" t="s">
        <v>828</v>
      </c>
      <c r="D38" s="172" t="s">
        <v>2656</v>
      </c>
      <c r="E38" s="134">
        <v>36000</v>
      </c>
    </row>
    <row r="39" spans="1:5" ht="15.75" customHeight="1">
      <c r="A39" s="177" t="s">
        <v>1281</v>
      </c>
      <c r="B39" s="149" t="s">
        <v>2658</v>
      </c>
      <c r="C39" s="13" t="s">
        <v>1992</v>
      </c>
      <c r="D39" s="161" t="s">
        <v>2659</v>
      </c>
      <c r="E39" s="134">
        <v>8027.34</v>
      </c>
    </row>
    <row r="40" spans="1:5" ht="15.75" customHeight="1">
      <c r="A40" s="177" t="s">
        <v>1284</v>
      </c>
      <c r="B40" s="149" t="s">
        <v>2660</v>
      </c>
      <c r="C40" s="13" t="s">
        <v>1992</v>
      </c>
      <c r="D40" s="172" t="s">
        <v>2661</v>
      </c>
      <c r="E40" s="134">
        <v>74231.759999999995</v>
      </c>
    </row>
    <row r="41" spans="1:5" ht="15.75" customHeight="1">
      <c r="A41" s="177" t="s">
        <v>1286</v>
      </c>
      <c r="B41" s="149" t="s">
        <v>2662</v>
      </c>
      <c r="C41" s="13" t="s">
        <v>783</v>
      </c>
      <c r="D41" s="172" t="s">
        <v>632</v>
      </c>
      <c r="E41" s="134">
        <v>4320</v>
      </c>
    </row>
    <row r="42" spans="1:5" ht="15.75" customHeight="1">
      <c r="A42" s="177" t="s">
        <v>1288</v>
      </c>
      <c r="B42" s="149" t="s">
        <v>2667</v>
      </c>
      <c r="C42" s="13" t="s">
        <v>2668</v>
      </c>
      <c r="D42" s="171" t="s">
        <v>2669</v>
      </c>
      <c r="E42" s="134">
        <v>141084.70000000001</v>
      </c>
    </row>
    <row r="43" spans="1:5" ht="15.75" customHeight="1">
      <c r="A43" s="177" t="s">
        <v>1290</v>
      </c>
      <c r="B43" s="149" t="s">
        <v>2670</v>
      </c>
      <c r="C43" s="13" t="s">
        <v>2671</v>
      </c>
      <c r="D43" s="171" t="s">
        <v>2672</v>
      </c>
      <c r="E43" s="134">
        <v>14400</v>
      </c>
    </row>
    <row r="44" spans="1:5" ht="15.75" customHeight="1">
      <c r="A44" s="177" t="s">
        <v>1293</v>
      </c>
      <c r="B44" s="149" t="s">
        <v>2673</v>
      </c>
      <c r="C44" s="13" t="s">
        <v>2051</v>
      </c>
      <c r="D44" s="161" t="s">
        <v>2674</v>
      </c>
      <c r="E44" s="134">
        <v>13604</v>
      </c>
    </row>
    <row r="45" spans="1:5" ht="15.75" customHeight="1">
      <c r="A45" s="177" t="s">
        <v>1295</v>
      </c>
      <c r="B45" s="149" t="s">
        <v>2675</v>
      </c>
      <c r="C45" s="13" t="s">
        <v>133</v>
      </c>
      <c r="D45" s="172" t="s">
        <v>2595</v>
      </c>
      <c r="E45" s="134">
        <v>30000</v>
      </c>
    </row>
    <row r="46" spans="1:5" ht="15.75" customHeight="1">
      <c r="A46" s="177" t="s">
        <v>1297</v>
      </c>
      <c r="B46" s="149" t="s">
        <v>2678</v>
      </c>
      <c r="C46" s="13" t="s">
        <v>2679</v>
      </c>
      <c r="D46" s="172" t="s">
        <v>2680</v>
      </c>
      <c r="E46" s="134">
        <v>12000</v>
      </c>
    </row>
    <row r="47" spans="1:5" ht="15.75" customHeight="1">
      <c r="A47" s="177" t="s">
        <v>1301</v>
      </c>
      <c r="B47" s="149" t="s">
        <v>2618</v>
      </c>
      <c r="C47" s="13" t="s">
        <v>2619</v>
      </c>
      <c r="D47" s="161" t="s">
        <v>2209</v>
      </c>
      <c r="E47" s="134">
        <v>24600</v>
      </c>
    </row>
    <row r="48" spans="1:5" ht="15.75" customHeight="1">
      <c r="A48" s="105" t="s">
        <v>24</v>
      </c>
      <c r="B48" s="216"/>
      <c r="C48" s="204"/>
      <c r="D48" s="205"/>
      <c r="E48" s="49">
        <f>SUM(E12:E47)</f>
        <v>2390536.9</v>
      </c>
    </row>
    <row r="49" spans="1:5" ht="15.75" customHeight="1">
      <c r="A49" s="218" t="s">
        <v>2681</v>
      </c>
      <c r="B49" s="204"/>
      <c r="C49" s="204"/>
      <c r="D49" s="205"/>
      <c r="E49" s="192">
        <f>E48*8%</f>
        <v>191242.95199999999</v>
      </c>
    </row>
    <row r="50" spans="1:5" ht="15.75" customHeight="1">
      <c r="A50" s="212"/>
      <c r="B50" s="196"/>
      <c r="C50" s="196"/>
      <c r="D50" s="196"/>
      <c r="E50" s="196"/>
    </row>
    <row r="51" spans="1:5" ht="15.75" customHeight="1">
      <c r="A51" s="212"/>
      <c r="B51" s="196"/>
      <c r="C51" s="196"/>
      <c r="D51" s="196"/>
      <c r="E51" s="27"/>
    </row>
    <row r="52" spans="1:5" ht="14.25" customHeight="1">
      <c r="A52" s="212" t="s">
        <v>25</v>
      </c>
      <c r="B52" s="196"/>
      <c r="C52" s="196"/>
      <c r="D52" s="196"/>
      <c r="E52" s="196"/>
    </row>
    <row r="53" spans="1:5" ht="35.25" customHeight="1">
      <c r="A53" s="212"/>
      <c r="B53" s="196"/>
      <c r="C53" s="196"/>
      <c r="D53" s="196"/>
      <c r="E53" s="196"/>
    </row>
    <row r="54" spans="1:5" ht="15.75" customHeight="1">
      <c r="A54" s="212" t="s">
        <v>26</v>
      </c>
      <c r="B54" s="196"/>
      <c r="C54" s="196"/>
      <c r="D54" s="196"/>
      <c r="E54" s="196"/>
    </row>
    <row r="55" spans="1:5" ht="15.75" customHeight="1">
      <c r="A55" s="212" t="s">
        <v>27</v>
      </c>
      <c r="B55" s="196"/>
      <c r="C55" s="196"/>
      <c r="D55" s="196"/>
      <c r="E55" s="196"/>
    </row>
    <row r="56" spans="1:5" ht="15.75" customHeight="1">
      <c r="A56" s="212" t="s">
        <v>28</v>
      </c>
      <c r="B56" s="196"/>
      <c r="C56" s="196"/>
      <c r="D56" s="196"/>
      <c r="E56" s="196"/>
    </row>
  </sheetData>
  <mergeCells count="19">
    <mergeCell ref="A55:E55"/>
    <mergeCell ref="A56:E56"/>
    <mergeCell ref="A8:E8"/>
    <mergeCell ref="A9:E9"/>
    <mergeCell ref="A10:E10"/>
    <mergeCell ref="B48:D48"/>
    <mergeCell ref="A49:D49"/>
    <mergeCell ref="A50:E50"/>
    <mergeCell ref="A51:D51"/>
    <mergeCell ref="A6:E6"/>
    <mergeCell ref="A7:E7"/>
    <mergeCell ref="A52:E52"/>
    <mergeCell ref="A53:E53"/>
    <mergeCell ref="A54:E54"/>
    <mergeCell ref="A1:E1"/>
    <mergeCell ref="A2:E2"/>
    <mergeCell ref="A3:E3"/>
    <mergeCell ref="A4:E4"/>
    <mergeCell ref="A5:E5"/>
  </mergeCells>
  <conditionalFormatting sqref="E12:E47">
    <cfRule type="notContainsBlanks" dxfId="10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  <pageSetUpPr fitToPage="1"/>
  </sheetPr>
  <dimension ref="A1:E46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57.6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7" t="s">
        <v>2475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2683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61" t="s">
        <v>1209</v>
      </c>
      <c r="B12" s="149" t="s">
        <v>2684</v>
      </c>
      <c r="C12" s="13" t="s">
        <v>805</v>
      </c>
      <c r="D12" s="172" t="s">
        <v>2685</v>
      </c>
      <c r="E12" s="134">
        <v>41900</v>
      </c>
    </row>
    <row r="13" spans="1:5" ht="15.75" customHeight="1">
      <c r="A13" s="161" t="s">
        <v>1212</v>
      </c>
      <c r="B13" s="149" t="s">
        <v>2686</v>
      </c>
      <c r="C13" s="13" t="s">
        <v>2687</v>
      </c>
      <c r="D13" s="172" t="s">
        <v>2688</v>
      </c>
      <c r="E13" s="134">
        <v>5500000</v>
      </c>
    </row>
    <row r="14" spans="1:5" ht="15.75" customHeight="1">
      <c r="A14" s="161" t="s">
        <v>1215</v>
      </c>
      <c r="B14" s="149" t="s">
        <v>2689</v>
      </c>
      <c r="C14" s="13" t="s">
        <v>1906</v>
      </c>
      <c r="D14" s="172" t="s">
        <v>2690</v>
      </c>
      <c r="E14" s="134">
        <v>84500</v>
      </c>
    </row>
    <row r="15" spans="1:5" ht="15.75" customHeight="1">
      <c r="A15" s="161" t="s">
        <v>1217</v>
      </c>
      <c r="B15" s="80" t="s">
        <v>2691</v>
      </c>
      <c r="C15" s="100" t="s">
        <v>2346</v>
      </c>
      <c r="D15" s="162" t="s">
        <v>2692</v>
      </c>
      <c r="E15" s="14">
        <v>28000</v>
      </c>
    </row>
    <row r="16" spans="1:5" ht="15.75" customHeight="1">
      <c r="A16" s="161" t="s">
        <v>1221</v>
      </c>
      <c r="B16" s="12" t="s">
        <v>2693</v>
      </c>
      <c r="C16" s="13" t="s">
        <v>2694</v>
      </c>
      <c r="D16" s="171" t="s">
        <v>2695</v>
      </c>
      <c r="E16" s="134">
        <v>439827.37</v>
      </c>
    </row>
    <row r="17" spans="1:5" ht="15.75" customHeight="1">
      <c r="A17" s="161" t="s">
        <v>1224</v>
      </c>
      <c r="B17" s="149" t="s">
        <v>2696</v>
      </c>
      <c r="C17" s="13" t="s">
        <v>2051</v>
      </c>
      <c r="D17" s="172" t="s">
        <v>2697</v>
      </c>
      <c r="E17" s="134">
        <v>133280</v>
      </c>
    </row>
    <row r="18" spans="1:5" ht="15.75" customHeight="1">
      <c r="A18" s="161" t="s">
        <v>1226</v>
      </c>
      <c r="B18" s="149" t="s">
        <v>2698</v>
      </c>
      <c r="C18" s="13" t="s">
        <v>1906</v>
      </c>
      <c r="D18" s="172" t="s">
        <v>2699</v>
      </c>
      <c r="E18" s="134">
        <v>81000</v>
      </c>
    </row>
    <row r="19" spans="1:5" ht="15.75" customHeight="1">
      <c r="A19" s="161" t="s">
        <v>1228</v>
      </c>
      <c r="B19" s="149" t="s">
        <v>2700</v>
      </c>
      <c r="C19" s="13" t="s">
        <v>472</v>
      </c>
      <c r="D19" s="172" t="s">
        <v>2701</v>
      </c>
      <c r="E19" s="134">
        <v>2500</v>
      </c>
    </row>
    <row r="20" spans="1:5" ht="15.75" customHeight="1">
      <c r="A20" s="161" t="s">
        <v>1230</v>
      </c>
      <c r="B20" s="12" t="s">
        <v>2702</v>
      </c>
      <c r="C20" s="13" t="s">
        <v>2642</v>
      </c>
      <c r="D20" s="172" t="s">
        <v>2703</v>
      </c>
      <c r="E20" s="134">
        <v>19142</v>
      </c>
    </row>
    <row r="21" spans="1:5" ht="15.75" customHeight="1">
      <c r="A21" s="161" t="s">
        <v>1232</v>
      </c>
      <c r="B21" s="149" t="s">
        <v>2704</v>
      </c>
      <c r="C21" s="13" t="s">
        <v>1954</v>
      </c>
      <c r="D21" s="172" t="s">
        <v>2705</v>
      </c>
      <c r="E21" s="134">
        <v>6820</v>
      </c>
    </row>
    <row r="22" spans="1:5" ht="15.75" customHeight="1">
      <c r="A22" s="161" t="s">
        <v>1234</v>
      </c>
      <c r="B22" s="149" t="s">
        <v>2706</v>
      </c>
      <c r="C22" s="13" t="s">
        <v>1906</v>
      </c>
      <c r="D22" s="175" t="s">
        <v>2707</v>
      </c>
      <c r="E22" s="134">
        <v>19950</v>
      </c>
    </row>
    <row r="23" spans="1:5" ht="15.75" customHeight="1">
      <c r="A23" s="161" t="s">
        <v>1236</v>
      </c>
      <c r="B23" s="149" t="s">
        <v>2708</v>
      </c>
      <c r="C23" s="13" t="s">
        <v>2709</v>
      </c>
      <c r="D23" s="172" t="s">
        <v>1212</v>
      </c>
      <c r="E23" s="134">
        <v>76600</v>
      </c>
    </row>
    <row r="24" spans="1:5" ht="15.75" customHeight="1">
      <c r="A24" s="161" t="s">
        <v>1240</v>
      </c>
      <c r="B24" s="149" t="s">
        <v>2710</v>
      </c>
      <c r="C24" s="13" t="s">
        <v>1906</v>
      </c>
      <c r="D24" s="172" t="s">
        <v>2711</v>
      </c>
      <c r="E24" s="134">
        <v>14250</v>
      </c>
    </row>
    <row r="25" spans="1:5" ht="15.75" customHeight="1">
      <c r="A25" s="161" t="s">
        <v>1242</v>
      </c>
      <c r="B25" s="149" t="s">
        <v>2712</v>
      </c>
      <c r="C25" s="13" t="s">
        <v>1203</v>
      </c>
      <c r="D25" s="172" t="s">
        <v>2713</v>
      </c>
      <c r="E25" s="134">
        <v>12600</v>
      </c>
    </row>
    <row r="26" spans="1:5" ht="15.75" customHeight="1">
      <c r="A26" s="161" t="s">
        <v>1245</v>
      </c>
      <c r="B26" s="12" t="s">
        <v>2714</v>
      </c>
      <c r="C26" s="13" t="s">
        <v>2715</v>
      </c>
      <c r="D26" s="172" t="s">
        <v>2716</v>
      </c>
      <c r="E26" s="134">
        <v>57520</v>
      </c>
    </row>
    <row r="27" spans="1:5" ht="15.75" customHeight="1">
      <c r="A27" s="161" t="s">
        <v>1247</v>
      </c>
      <c r="B27" s="12" t="s">
        <v>2717</v>
      </c>
      <c r="C27" s="13" t="s">
        <v>2718</v>
      </c>
      <c r="D27" s="175" t="s">
        <v>2719</v>
      </c>
      <c r="E27" s="134">
        <v>19000</v>
      </c>
    </row>
    <row r="28" spans="1:5" ht="15.75" customHeight="1">
      <c r="A28" s="161" t="s">
        <v>1249</v>
      </c>
      <c r="B28" s="149" t="s">
        <v>2700</v>
      </c>
      <c r="C28" s="13" t="s">
        <v>472</v>
      </c>
      <c r="D28" s="175" t="s">
        <v>2720</v>
      </c>
      <c r="E28" s="134">
        <v>16750</v>
      </c>
    </row>
    <row r="29" spans="1:5" ht="15.75" customHeight="1">
      <c r="A29" s="161" t="s">
        <v>1252</v>
      </c>
      <c r="B29" s="149" t="s">
        <v>2721</v>
      </c>
      <c r="C29" s="13" t="s">
        <v>2722</v>
      </c>
      <c r="D29" s="175" t="s">
        <v>2723</v>
      </c>
      <c r="E29" s="134">
        <v>88000</v>
      </c>
    </row>
    <row r="30" spans="1:5" ht="15.75" customHeight="1">
      <c r="A30" s="161" t="s">
        <v>1255</v>
      </c>
      <c r="B30" s="12" t="s">
        <v>2724</v>
      </c>
      <c r="C30" s="13" t="s">
        <v>2051</v>
      </c>
      <c r="D30" s="172" t="s">
        <v>2725</v>
      </c>
      <c r="E30" s="134">
        <v>8016</v>
      </c>
    </row>
    <row r="31" spans="1:5" ht="15.75" customHeight="1">
      <c r="A31" s="161" t="s">
        <v>1257</v>
      </c>
      <c r="B31" s="149" t="s">
        <v>2726</v>
      </c>
      <c r="C31" s="13" t="s">
        <v>403</v>
      </c>
      <c r="D31" s="175" t="s">
        <v>2727</v>
      </c>
      <c r="E31" s="134">
        <v>32740</v>
      </c>
    </row>
    <row r="32" spans="1:5" ht="15.75" customHeight="1">
      <c r="A32" s="161" t="s">
        <v>1259</v>
      </c>
      <c r="B32" s="149" t="s">
        <v>2728</v>
      </c>
      <c r="C32" s="13" t="s">
        <v>2051</v>
      </c>
      <c r="D32" s="175" t="s">
        <v>2729</v>
      </c>
      <c r="E32" s="134">
        <v>20650</v>
      </c>
    </row>
    <row r="33" spans="1:5" ht="15.75" customHeight="1">
      <c r="A33" s="161" t="s">
        <v>1263</v>
      </c>
      <c r="B33" s="149" t="s">
        <v>2730</v>
      </c>
      <c r="C33" s="13" t="s">
        <v>2051</v>
      </c>
      <c r="D33" s="172" t="s">
        <v>2731</v>
      </c>
      <c r="E33" s="134">
        <v>7323</v>
      </c>
    </row>
    <row r="34" spans="1:5" ht="15.75" customHeight="1">
      <c r="A34" s="161" t="s">
        <v>1267</v>
      </c>
      <c r="B34" s="149" t="s">
        <v>2732</v>
      </c>
      <c r="C34" s="13" t="s">
        <v>2733</v>
      </c>
      <c r="D34" s="175" t="s">
        <v>2734</v>
      </c>
      <c r="E34" s="134">
        <v>21000</v>
      </c>
    </row>
    <row r="35" spans="1:5" ht="15.75" customHeight="1">
      <c r="A35" s="161" t="s">
        <v>1270</v>
      </c>
      <c r="B35" s="149" t="s">
        <v>463</v>
      </c>
      <c r="C35" s="13" t="s">
        <v>378</v>
      </c>
      <c r="D35" s="175" t="s">
        <v>2735</v>
      </c>
      <c r="E35" s="134">
        <v>25053</v>
      </c>
    </row>
    <row r="36" spans="1:5" ht="15.75" customHeight="1">
      <c r="A36" s="161" t="s">
        <v>1273</v>
      </c>
      <c r="B36" s="149" t="s">
        <v>2736</v>
      </c>
      <c r="C36" s="13" t="s">
        <v>378</v>
      </c>
      <c r="D36" s="175" t="s">
        <v>2737</v>
      </c>
      <c r="E36" s="134">
        <v>183367</v>
      </c>
    </row>
    <row r="37" spans="1:5" ht="15.75" customHeight="1">
      <c r="A37" s="161" t="s">
        <v>1275</v>
      </c>
      <c r="B37" s="149" t="s">
        <v>2738</v>
      </c>
      <c r="C37" s="13" t="s">
        <v>1992</v>
      </c>
      <c r="D37" s="172" t="s">
        <v>2739</v>
      </c>
      <c r="E37" s="134">
        <v>44132.7</v>
      </c>
    </row>
    <row r="38" spans="1:5" ht="15.75" customHeight="1">
      <c r="A38" s="108" t="s">
        <v>24</v>
      </c>
      <c r="B38" s="216"/>
      <c r="C38" s="204"/>
      <c r="D38" s="205"/>
      <c r="E38" s="49">
        <f>SUM(E12:E37)</f>
        <v>6983921.0700000003</v>
      </c>
    </row>
    <row r="39" spans="1:5" ht="15.75" customHeight="1">
      <c r="A39" s="217" t="s">
        <v>2740</v>
      </c>
      <c r="B39" s="204"/>
      <c r="C39" s="204"/>
      <c r="D39" s="205"/>
      <c r="E39" s="192">
        <f>IF(E38&gt;=10000000,5000000*2%+5000000*1%+(E38-10000000)*1%,IF(E38&gt;=5000000,5000000*2%+(E38-5000000)*1%,E38*2%))</f>
        <v>119839.2107</v>
      </c>
    </row>
    <row r="40" spans="1:5" ht="15.75" customHeight="1">
      <c r="A40" s="211"/>
      <c r="B40" s="196"/>
      <c r="C40" s="196"/>
      <c r="D40" s="196"/>
      <c r="E40" s="196"/>
    </row>
    <row r="41" spans="1:5" ht="15.75" customHeight="1">
      <c r="A41" s="211"/>
      <c r="B41" s="196"/>
      <c r="C41" s="196"/>
      <c r="D41" s="196"/>
      <c r="E41" s="27"/>
    </row>
    <row r="42" spans="1:5" ht="14.25" customHeight="1">
      <c r="A42" s="211" t="s">
        <v>25</v>
      </c>
      <c r="B42" s="196"/>
      <c r="C42" s="196"/>
      <c r="D42" s="196"/>
      <c r="E42" s="196"/>
    </row>
    <row r="43" spans="1:5" ht="35.25" customHeight="1">
      <c r="A43" s="211"/>
      <c r="B43" s="196"/>
      <c r="C43" s="196"/>
      <c r="D43" s="196"/>
      <c r="E43" s="196"/>
    </row>
    <row r="44" spans="1:5" ht="15.75" customHeight="1">
      <c r="A44" s="211" t="s">
        <v>26</v>
      </c>
      <c r="B44" s="196"/>
      <c r="C44" s="196"/>
      <c r="D44" s="196"/>
      <c r="E44" s="196"/>
    </row>
    <row r="45" spans="1:5" ht="15.75" customHeight="1">
      <c r="A45" s="211" t="s">
        <v>27</v>
      </c>
      <c r="B45" s="196"/>
      <c r="C45" s="196"/>
      <c r="D45" s="196"/>
      <c r="E45" s="196"/>
    </row>
    <row r="46" spans="1:5" ht="15.75" customHeight="1">
      <c r="A46" s="211" t="s">
        <v>28</v>
      </c>
      <c r="B46" s="196"/>
      <c r="C46" s="196"/>
      <c r="D46" s="196"/>
      <c r="E46" s="196"/>
    </row>
  </sheetData>
  <mergeCells count="19">
    <mergeCell ref="A45:E45"/>
    <mergeCell ref="A46:E46"/>
    <mergeCell ref="A8:E8"/>
    <mergeCell ref="A9:E9"/>
    <mergeCell ref="A10:E10"/>
    <mergeCell ref="B38:D38"/>
    <mergeCell ref="A39:D39"/>
    <mergeCell ref="A40:E40"/>
    <mergeCell ref="A41:D41"/>
    <mergeCell ref="A6:E6"/>
    <mergeCell ref="A7:E7"/>
    <mergeCell ref="A42:E42"/>
    <mergeCell ref="A43:E43"/>
    <mergeCell ref="A44:E44"/>
    <mergeCell ref="A1:E1"/>
    <mergeCell ref="A2:E2"/>
    <mergeCell ref="A3:E3"/>
    <mergeCell ref="A4:E4"/>
    <mergeCell ref="A5:E5"/>
  </mergeCells>
  <conditionalFormatting sqref="E12:E37">
    <cfRule type="notContainsBlanks" dxfId="9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  <pageSetUpPr fitToPage="1"/>
  </sheetPr>
  <dimension ref="A1:E43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57.6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7" t="s">
        <v>2475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2741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61" t="s">
        <v>1209</v>
      </c>
      <c r="B12" s="149" t="s">
        <v>2684</v>
      </c>
      <c r="C12" s="13" t="s">
        <v>805</v>
      </c>
      <c r="D12" s="172" t="s">
        <v>2685</v>
      </c>
      <c r="E12" s="134">
        <v>41900</v>
      </c>
    </row>
    <row r="13" spans="1:5" ht="15.75" customHeight="1">
      <c r="A13" s="161" t="s">
        <v>1212</v>
      </c>
      <c r="B13" s="149" t="s">
        <v>2686</v>
      </c>
      <c r="C13" s="13" t="s">
        <v>2687</v>
      </c>
      <c r="D13" s="172" t="s">
        <v>2688</v>
      </c>
      <c r="E13" s="134">
        <v>1262209.8</v>
      </c>
    </row>
    <row r="14" spans="1:5" ht="15.75" customHeight="1">
      <c r="A14" s="161" t="s">
        <v>1215</v>
      </c>
      <c r="B14" s="149" t="s">
        <v>2689</v>
      </c>
      <c r="C14" s="13" t="s">
        <v>1906</v>
      </c>
      <c r="D14" s="172" t="s">
        <v>2690</v>
      </c>
      <c r="E14" s="134">
        <v>84500</v>
      </c>
    </row>
    <row r="15" spans="1:5" ht="15.75" customHeight="1">
      <c r="A15" s="161" t="s">
        <v>1217</v>
      </c>
      <c r="B15" s="80" t="s">
        <v>2691</v>
      </c>
      <c r="C15" s="100" t="s">
        <v>2346</v>
      </c>
      <c r="D15" s="162" t="s">
        <v>2692</v>
      </c>
      <c r="E15" s="14">
        <v>28000</v>
      </c>
    </row>
    <row r="16" spans="1:5" ht="15.75" customHeight="1">
      <c r="A16" s="161" t="s">
        <v>1221</v>
      </c>
      <c r="B16" s="12" t="s">
        <v>2693</v>
      </c>
      <c r="C16" s="13" t="s">
        <v>2694</v>
      </c>
      <c r="D16" s="171" t="s">
        <v>2695</v>
      </c>
      <c r="E16" s="134">
        <v>439827.37</v>
      </c>
    </row>
    <row r="17" spans="1:5" ht="15.75" customHeight="1">
      <c r="A17" s="161" t="s">
        <v>1224</v>
      </c>
      <c r="B17" s="149" t="s">
        <v>2696</v>
      </c>
      <c r="C17" s="13" t="s">
        <v>2051</v>
      </c>
      <c r="D17" s="172" t="s">
        <v>2697</v>
      </c>
      <c r="E17" s="134">
        <v>133280</v>
      </c>
    </row>
    <row r="18" spans="1:5" ht="15.75" customHeight="1">
      <c r="A18" s="161" t="s">
        <v>1226</v>
      </c>
      <c r="B18" s="149" t="s">
        <v>2698</v>
      </c>
      <c r="C18" s="13" t="s">
        <v>1906</v>
      </c>
      <c r="D18" s="172" t="s">
        <v>2699</v>
      </c>
      <c r="E18" s="134">
        <v>81000</v>
      </c>
    </row>
    <row r="19" spans="1:5" ht="15.75" customHeight="1">
      <c r="A19" s="161" t="s">
        <v>1228</v>
      </c>
      <c r="B19" s="149" t="s">
        <v>2700</v>
      </c>
      <c r="C19" s="13" t="s">
        <v>472</v>
      </c>
      <c r="D19" s="172" t="s">
        <v>2701</v>
      </c>
      <c r="E19" s="134">
        <v>2500</v>
      </c>
    </row>
    <row r="20" spans="1:5" ht="15.75" customHeight="1">
      <c r="A20" s="161" t="s">
        <v>1230</v>
      </c>
      <c r="B20" s="12" t="s">
        <v>2702</v>
      </c>
      <c r="C20" s="13" t="s">
        <v>2642</v>
      </c>
      <c r="D20" s="172" t="s">
        <v>2703</v>
      </c>
      <c r="E20" s="134">
        <v>19142</v>
      </c>
    </row>
    <row r="21" spans="1:5" ht="15.75" customHeight="1">
      <c r="A21" s="161" t="s">
        <v>1232</v>
      </c>
      <c r="B21" s="149" t="s">
        <v>2704</v>
      </c>
      <c r="C21" s="13" t="s">
        <v>1954</v>
      </c>
      <c r="D21" s="172" t="s">
        <v>2705</v>
      </c>
      <c r="E21" s="134">
        <v>6820</v>
      </c>
    </row>
    <row r="22" spans="1:5" ht="15.75" customHeight="1">
      <c r="A22" s="161" t="s">
        <v>1234</v>
      </c>
      <c r="B22" s="149" t="s">
        <v>2706</v>
      </c>
      <c r="C22" s="13" t="s">
        <v>1906</v>
      </c>
      <c r="D22" s="175" t="s">
        <v>2707</v>
      </c>
      <c r="E22" s="134">
        <v>19950</v>
      </c>
    </row>
    <row r="23" spans="1:5" ht="15.75" customHeight="1">
      <c r="A23" s="161" t="s">
        <v>1236</v>
      </c>
      <c r="B23" s="149" t="s">
        <v>2708</v>
      </c>
      <c r="C23" s="13" t="s">
        <v>2709</v>
      </c>
      <c r="D23" s="172" t="s">
        <v>1212</v>
      </c>
      <c r="E23" s="134">
        <v>76600</v>
      </c>
    </row>
    <row r="24" spans="1:5" ht="15.75" customHeight="1">
      <c r="A24" s="161" t="s">
        <v>1240</v>
      </c>
      <c r="B24" s="149" t="s">
        <v>2710</v>
      </c>
      <c r="C24" s="13" t="s">
        <v>1906</v>
      </c>
      <c r="D24" s="172" t="s">
        <v>2711</v>
      </c>
      <c r="E24" s="134">
        <v>14250</v>
      </c>
    </row>
    <row r="25" spans="1:5" ht="15.75" customHeight="1">
      <c r="A25" s="161" t="s">
        <v>1242</v>
      </c>
      <c r="B25" s="149" t="s">
        <v>2712</v>
      </c>
      <c r="C25" s="13" t="s">
        <v>1203</v>
      </c>
      <c r="D25" s="172" t="s">
        <v>2713</v>
      </c>
      <c r="E25" s="134">
        <v>12600</v>
      </c>
    </row>
    <row r="26" spans="1:5" ht="15.75" customHeight="1">
      <c r="A26" s="161" t="s">
        <v>1245</v>
      </c>
      <c r="B26" s="12" t="s">
        <v>2714</v>
      </c>
      <c r="C26" s="13" t="s">
        <v>2715</v>
      </c>
      <c r="D26" s="172" t="s">
        <v>2716</v>
      </c>
      <c r="E26" s="134">
        <v>57520</v>
      </c>
    </row>
    <row r="27" spans="1:5" ht="15.75" customHeight="1">
      <c r="A27" s="161" t="s">
        <v>1247</v>
      </c>
      <c r="B27" s="12" t="s">
        <v>2717</v>
      </c>
      <c r="C27" s="13" t="s">
        <v>2718</v>
      </c>
      <c r="D27" s="175" t="s">
        <v>2719</v>
      </c>
      <c r="E27" s="134">
        <v>19000</v>
      </c>
    </row>
    <row r="28" spans="1:5" ht="15.75" customHeight="1">
      <c r="A28" s="161" t="s">
        <v>1249</v>
      </c>
      <c r="B28" s="149" t="s">
        <v>2700</v>
      </c>
      <c r="C28" s="13" t="s">
        <v>472</v>
      </c>
      <c r="D28" s="175" t="s">
        <v>2720</v>
      </c>
      <c r="E28" s="134">
        <v>16750</v>
      </c>
    </row>
    <row r="29" spans="1:5" ht="15.75" customHeight="1">
      <c r="A29" s="161" t="s">
        <v>1252</v>
      </c>
      <c r="B29" s="149" t="s">
        <v>2721</v>
      </c>
      <c r="C29" s="13" t="s">
        <v>2722</v>
      </c>
      <c r="D29" s="175" t="s">
        <v>2723</v>
      </c>
      <c r="E29" s="134">
        <v>88000</v>
      </c>
    </row>
    <row r="30" spans="1:5" ht="15.75" customHeight="1">
      <c r="A30" s="161" t="s">
        <v>1255</v>
      </c>
      <c r="B30" s="12" t="s">
        <v>2724</v>
      </c>
      <c r="C30" s="13" t="s">
        <v>2051</v>
      </c>
      <c r="D30" s="172" t="s">
        <v>2725</v>
      </c>
      <c r="E30" s="134">
        <v>8016</v>
      </c>
    </row>
    <row r="31" spans="1:5" ht="15.75" customHeight="1">
      <c r="A31" s="161" t="s">
        <v>1257</v>
      </c>
      <c r="B31" s="149" t="s">
        <v>2726</v>
      </c>
      <c r="C31" s="13" t="s">
        <v>403</v>
      </c>
      <c r="D31" s="175" t="s">
        <v>2727</v>
      </c>
      <c r="E31" s="134">
        <v>32740</v>
      </c>
    </row>
    <row r="32" spans="1:5" ht="15.75" customHeight="1">
      <c r="A32" s="161" t="s">
        <v>1259</v>
      </c>
      <c r="B32" s="149" t="s">
        <v>2728</v>
      </c>
      <c r="C32" s="13" t="s">
        <v>2051</v>
      </c>
      <c r="D32" s="175" t="s">
        <v>2729</v>
      </c>
      <c r="E32" s="134">
        <v>20650</v>
      </c>
    </row>
    <row r="33" spans="1:5" ht="15.75" customHeight="1">
      <c r="A33" s="161" t="s">
        <v>1263</v>
      </c>
      <c r="B33" s="149" t="s">
        <v>2730</v>
      </c>
      <c r="C33" s="13" t="s">
        <v>2051</v>
      </c>
      <c r="D33" s="172" t="s">
        <v>2731</v>
      </c>
      <c r="E33" s="134">
        <v>7323</v>
      </c>
    </row>
    <row r="34" spans="1:5" ht="15.75" customHeight="1">
      <c r="A34" s="161" t="s">
        <v>1267</v>
      </c>
      <c r="B34" s="149" t="s">
        <v>2732</v>
      </c>
      <c r="C34" s="13" t="s">
        <v>2733</v>
      </c>
      <c r="D34" s="175" t="s">
        <v>2734</v>
      </c>
      <c r="E34" s="134">
        <v>21000</v>
      </c>
    </row>
    <row r="35" spans="1:5" ht="15.75" customHeight="1">
      <c r="A35" s="108" t="s">
        <v>24</v>
      </c>
      <c r="B35" s="216"/>
      <c r="C35" s="204"/>
      <c r="D35" s="205"/>
      <c r="E35" s="49">
        <f>SUM(E12:E34)</f>
        <v>2493578.17</v>
      </c>
    </row>
    <row r="36" spans="1:5" ht="15.75" customHeight="1">
      <c r="A36" s="217" t="s">
        <v>2740</v>
      </c>
      <c r="B36" s="204"/>
      <c r="C36" s="204"/>
      <c r="D36" s="205"/>
      <c r="E36" s="192">
        <f>E35*8%</f>
        <v>199486.2536</v>
      </c>
    </row>
    <row r="37" spans="1:5" ht="15.75" customHeight="1">
      <c r="A37" s="211"/>
      <c r="B37" s="196"/>
      <c r="C37" s="196"/>
      <c r="D37" s="196"/>
      <c r="E37" s="196"/>
    </row>
    <row r="38" spans="1:5" ht="15.75" customHeight="1">
      <c r="A38" s="211"/>
      <c r="B38" s="196"/>
      <c r="C38" s="196"/>
      <c r="D38" s="196"/>
      <c r="E38" s="27"/>
    </row>
    <row r="39" spans="1:5" ht="14.25" customHeight="1">
      <c r="A39" s="211" t="s">
        <v>25</v>
      </c>
      <c r="B39" s="196"/>
      <c r="C39" s="196"/>
      <c r="D39" s="196"/>
      <c r="E39" s="196"/>
    </row>
    <row r="40" spans="1:5" ht="35.25" customHeight="1">
      <c r="A40" s="211"/>
      <c r="B40" s="196"/>
      <c r="C40" s="196"/>
      <c r="D40" s="196"/>
      <c r="E40" s="196"/>
    </row>
    <row r="41" spans="1:5" ht="15.75" customHeight="1">
      <c r="A41" s="211" t="s">
        <v>26</v>
      </c>
      <c r="B41" s="196"/>
      <c r="C41" s="196"/>
      <c r="D41" s="196"/>
      <c r="E41" s="196"/>
    </row>
    <row r="42" spans="1:5" ht="15.75" customHeight="1">
      <c r="A42" s="211" t="s">
        <v>27</v>
      </c>
      <c r="B42" s="196"/>
      <c r="C42" s="196"/>
      <c r="D42" s="196"/>
      <c r="E42" s="196"/>
    </row>
    <row r="43" spans="1:5" ht="15.75" customHeight="1">
      <c r="A43" s="211" t="s">
        <v>28</v>
      </c>
      <c r="B43" s="196"/>
      <c r="C43" s="196"/>
      <c r="D43" s="196"/>
      <c r="E43" s="196"/>
    </row>
  </sheetData>
  <mergeCells count="19">
    <mergeCell ref="A42:E42"/>
    <mergeCell ref="A43:E43"/>
    <mergeCell ref="A8:E8"/>
    <mergeCell ref="A9:E9"/>
    <mergeCell ref="A10:E10"/>
    <mergeCell ref="B35:D35"/>
    <mergeCell ref="A36:D36"/>
    <mergeCell ref="A37:E37"/>
    <mergeCell ref="A38:D38"/>
    <mergeCell ref="A6:E6"/>
    <mergeCell ref="A7:E7"/>
    <mergeCell ref="A39:E39"/>
    <mergeCell ref="A40:E40"/>
    <mergeCell ref="A41:E41"/>
    <mergeCell ref="A1:E1"/>
    <mergeCell ref="A2:E2"/>
    <mergeCell ref="A3:E3"/>
    <mergeCell ref="A4:E4"/>
    <mergeCell ref="A5:E5"/>
  </mergeCells>
  <conditionalFormatting sqref="E12:E34">
    <cfRule type="notContainsBlanks" dxfId="8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  <pageSetUpPr fitToPage="1"/>
  </sheetPr>
  <dimension ref="A1:E62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57.6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7" t="s">
        <v>2475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2742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93" t="s">
        <v>1209</v>
      </c>
      <c r="B12" s="149" t="s">
        <v>2743</v>
      </c>
      <c r="C12" s="13" t="s">
        <v>805</v>
      </c>
      <c r="D12" s="156" t="s">
        <v>2744</v>
      </c>
      <c r="E12" s="134">
        <v>1661300</v>
      </c>
    </row>
    <row r="13" spans="1:5" ht="15.75" customHeight="1">
      <c r="A13" s="193" t="s">
        <v>1212</v>
      </c>
      <c r="B13" s="149" t="s">
        <v>2745</v>
      </c>
      <c r="C13" s="13" t="s">
        <v>805</v>
      </c>
      <c r="D13" s="156" t="s">
        <v>2746</v>
      </c>
      <c r="E13" s="134">
        <v>77920</v>
      </c>
    </row>
    <row r="14" spans="1:5" ht="15.75" customHeight="1">
      <c r="A14" s="193" t="s">
        <v>1215</v>
      </c>
      <c r="B14" s="149" t="s">
        <v>2747</v>
      </c>
      <c r="C14" s="13" t="s">
        <v>783</v>
      </c>
      <c r="D14" s="194" t="s">
        <v>2748</v>
      </c>
      <c r="E14" s="134">
        <v>100430</v>
      </c>
    </row>
    <row r="15" spans="1:5" ht="15.75" customHeight="1">
      <c r="A15" s="193" t="s">
        <v>1217</v>
      </c>
      <c r="B15" s="149" t="s">
        <v>2749</v>
      </c>
      <c r="C15" s="13" t="s">
        <v>1608</v>
      </c>
      <c r="D15" s="156" t="s">
        <v>2750</v>
      </c>
      <c r="E15" s="134">
        <v>27600</v>
      </c>
    </row>
    <row r="16" spans="1:5" ht="16.5" customHeight="1">
      <c r="A16" s="193" t="s">
        <v>1221</v>
      </c>
      <c r="B16" s="149" t="s">
        <v>2751</v>
      </c>
      <c r="C16" s="13" t="s">
        <v>2502</v>
      </c>
      <c r="D16" s="156" t="s">
        <v>2752</v>
      </c>
      <c r="E16" s="134">
        <v>1600</v>
      </c>
    </row>
    <row r="17" spans="1:5" ht="15.75" customHeight="1">
      <c r="A17" s="193" t="s">
        <v>1224</v>
      </c>
      <c r="B17" s="149" t="s">
        <v>2753</v>
      </c>
      <c r="C17" s="13" t="s">
        <v>2502</v>
      </c>
      <c r="D17" s="194" t="s">
        <v>2754</v>
      </c>
      <c r="E17" s="134">
        <v>1500</v>
      </c>
    </row>
    <row r="18" spans="1:5" ht="15.75" customHeight="1">
      <c r="A18" s="193" t="s">
        <v>1226</v>
      </c>
      <c r="B18" s="12" t="s">
        <v>2755</v>
      </c>
      <c r="C18" s="13" t="s">
        <v>2051</v>
      </c>
      <c r="D18" s="194" t="s">
        <v>2756</v>
      </c>
      <c r="E18" s="134">
        <v>9257</v>
      </c>
    </row>
    <row r="19" spans="1:5" ht="15.75" customHeight="1">
      <c r="A19" s="193" t="s">
        <v>1228</v>
      </c>
      <c r="B19" s="149" t="s">
        <v>2757</v>
      </c>
      <c r="C19" s="13" t="s">
        <v>2758</v>
      </c>
      <c r="D19" s="156" t="s">
        <v>2759</v>
      </c>
      <c r="E19" s="134">
        <v>78400</v>
      </c>
    </row>
    <row r="20" spans="1:5" ht="15.75" customHeight="1">
      <c r="A20" s="193" t="s">
        <v>1230</v>
      </c>
      <c r="B20" s="12" t="s">
        <v>2760</v>
      </c>
      <c r="C20" s="13" t="s">
        <v>1203</v>
      </c>
      <c r="D20" s="171" t="s">
        <v>2761</v>
      </c>
      <c r="E20" s="134">
        <v>118340</v>
      </c>
    </row>
    <row r="21" spans="1:5" ht="15.75" customHeight="1">
      <c r="A21" s="193" t="s">
        <v>1232</v>
      </c>
      <c r="B21" s="12" t="s">
        <v>2762</v>
      </c>
      <c r="C21" s="13" t="s">
        <v>1203</v>
      </c>
      <c r="D21" s="171" t="s">
        <v>2763</v>
      </c>
      <c r="E21" s="134">
        <v>6350</v>
      </c>
    </row>
    <row r="22" spans="1:5" ht="15.75" customHeight="1">
      <c r="A22" s="193" t="s">
        <v>1234</v>
      </c>
      <c r="B22" s="149" t="s">
        <v>142</v>
      </c>
      <c r="C22" s="13" t="s">
        <v>2634</v>
      </c>
      <c r="D22" s="156" t="s">
        <v>2764</v>
      </c>
      <c r="E22" s="134">
        <v>122200</v>
      </c>
    </row>
    <row r="23" spans="1:5" ht="15.75" customHeight="1">
      <c r="A23" s="193" t="s">
        <v>1236</v>
      </c>
      <c r="B23" s="149" t="s">
        <v>2765</v>
      </c>
      <c r="C23" s="13" t="s">
        <v>2642</v>
      </c>
      <c r="D23" s="156" t="s">
        <v>2766</v>
      </c>
      <c r="E23" s="134">
        <v>40059</v>
      </c>
    </row>
    <row r="24" spans="1:5" ht="15.75" customHeight="1">
      <c r="A24" s="193" t="s">
        <v>1240</v>
      </c>
      <c r="B24" s="149" t="s">
        <v>2767</v>
      </c>
      <c r="C24" s="13" t="s">
        <v>2634</v>
      </c>
      <c r="D24" s="171" t="s">
        <v>2768</v>
      </c>
      <c r="E24" s="134">
        <v>137500</v>
      </c>
    </row>
    <row r="25" spans="1:5" ht="15.75" customHeight="1">
      <c r="A25" s="193" t="s">
        <v>1242</v>
      </c>
      <c r="B25" s="149" t="s">
        <v>2769</v>
      </c>
      <c r="C25" s="13" t="s">
        <v>1728</v>
      </c>
      <c r="D25" s="156" t="s">
        <v>2770</v>
      </c>
      <c r="E25" s="134">
        <v>17150</v>
      </c>
    </row>
    <row r="26" spans="1:5" ht="15.75" customHeight="1">
      <c r="A26" s="193" t="s">
        <v>1245</v>
      </c>
      <c r="B26" s="149" t="s">
        <v>2771</v>
      </c>
      <c r="C26" s="13" t="s">
        <v>378</v>
      </c>
      <c r="D26" s="156" t="s">
        <v>2772</v>
      </c>
      <c r="E26" s="134">
        <v>16520</v>
      </c>
    </row>
    <row r="27" spans="1:5" ht="15.75" customHeight="1">
      <c r="A27" s="193" t="s">
        <v>1247</v>
      </c>
      <c r="B27" s="149" t="s">
        <v>2773</v>
      </c>
      <c r="C27" s="13" t="s">
        <v>2774</v>
      </c>
      <c r="D27" s="156" t="s">
        <v>2775</v>
      </c>
      <c r="E27" s="134">
        <v>9300</v>
      </c>
    </row>
    <row r="28" spans="1:5" ht="15.75" customHeight="1">
      <c r="A28" s="193" t="s">
        <v>1249</v>
      </c>
      <c r="B28" s="149" t="s">
        <v>2776</v>
      </c>
      <c r="C28" s="13" t="s">
        <v>2777</v>
      </c>
      <c r="D28" s="156" t="s">
        <v>2778</v>
      </c>
      <c r="E28" s="134">
        <v>49950</v>
      </c>
    </row>
    <row r="29" spans="1:5" ht="15.75" customHeight="1">
      <c r="A29" s="193" t="s">
        <v>1252</v>
      </c>
      <c r="B29" s="149" t="s">
        <v>2779</v>
      </c>
      <c r="C29" s="13" t="s">
        <v>2780</v>
      </c>
      <c r="D29" s="156" t="s">
        <v>2781</v>
      </c>
      <c r="E29" s="134">
        <v>46250</v>
      </c>
    </row>
    <row r="30" spans="1:5" ht="15.75" customHeight="1">
      <c r="A30" s="193" t="s">
        <v>1255</v>
      </c>
      <c r="B30" s="149" t="s">
        <v>2782</v>
      </c>
      <c r="C30" s="13" t="s">
        <v>1728</v>
      </c>
      <c r="D30" s="156" t="s">
        <v>2783</v>
      </c>
      <c r="E30" s="134">
        <v>2245</v>
      </c>
    </row>
    <row r="31" spans="1:5" ht="15.75" customHeight="1">
      <c r="A31" s="193" t="s">
        <v>1257</v>
      </c>
      <c r="B31" s="149" t="s">
        <v>2784</v>
      </c>
      <c r="C31" s="13" t="s">
        <v>2785</v>
      </c>
      <c r="D31" s="171" t="s">
        <v>2786</v>
      </c>
      <c r="E31" s="134">
        <v>12000</v>
      </c>
    </row>
    <row r="32" spans="1:5" ht="15.75" customHeight="1">
      <c r="A32" s="193" t="s">
        <v>1259</v>
      </c>
      <c r="B32" s="149" t="s">
        <v>2787</v>
      </c>
      <c r="C32" s="13" t="s">
        <v>2785</v>
      </c>
      <c r="D32" s="171" t="s">
        <v>2788</v>
      </c>
      <c r="E32" s="134">
        <v>630</v>
      </c>
    </row>
    <row r="33" spans="1:5" ht="15.75" customHeight="1">
      <c r="A33" s="193" t="s">
        <v>1263</v>
      </c>
      <c r="B33" s="149" t="s">
        <v>2789</v>
      </c>
      <c r="C33" s="13" t="s">
        <v>2051</v>
      </c>
      <c r="D33" s="156" t="s">
        <v>2790</v>
      </c>
      <c r="E33" s="134">
        <v>17684</v>
      </c>
    </row>
    <row r="34" spans="1:5" ht="15.75" customHeight="1">
      <c r="A34" s="193" t="s">
        <v>1267</v>
      </c>
      <c r="B34" s="149" t="s">
        <v>2791</v>
      </c>
      <c r="C34" s="13" t="s">
        <v>2792</v>
      </c>
      <c r="D34" s="156" t="s">
        <v>2793</v>
      </c>
      <c r="E34" s="134">
        <v>331500</v>
      </c>
    </row>
    <row r="35" spans="1:5" ht="15.75" customHeight="1">
      <c r="A35" s="193" t="s">
        <v>1270</v>
      </c>
      <c r="B35" s="149" t="s">
        <v>2794</v>
      </c>
      <c r="C35" s="13" t="s">
        <v>1906</v>
      </c>
      <c r="D35" s="156" t="s">
        <v>2795</v>
      </c>
      <c r="E35" s="134">
        <v>135000</v>
      </c>
    </row>
    <row r="36" spans="1:5" ht="15.75" customHeight="1">
      <c r="A36" s="193" t="s">
        <v>1273</v>
      </c>
      <c r="B36" s="149" t="s">
        <v>2796</v>
      </c>
      <c r="C36" s="13" t="s">
        <v>2260</v>
      </c>
      <c r="D36" s="156" t="s">
        <v>2797</v>
      </c>
      <c r="E36" s="134">
        <v>13080</v>
      </c>
    </row>
    <row r="37" spans="1:5" ht="15.75" customHeight="1">
      <c r="A37" s="193" t="s">
        <v>1275</v>
      </c>
      <c r="B37" s="149" t="s">
        <v>2798</v>
      </c>
      <c r="C37" s="13" t="s">
        <v>1728</v>
      </c>
      <c r="D37" s="156" t="s">
        <v>2799</v>
      </c>
      <c r="E37" s="134">
        <v>20070</v>
      </c>
    </row>
    <row r="38" spans="1:5" ht="15.75" customHeight="1">
      <c r="A38" s="193" t="s">
        <v>1278</v>
      </c>
      <c r="B38" s="149" t="s">
        <v>2800</v>
      </c>
      <c r="C38" s="13" t="s">
        <v>1728</v>
      </c>
      <c r="D38" s="171" t="s">
        <v>2801</v>
      </c>
      <c r="E38" s="134">
        <v>11975</v>
      </c>
    </row>
    <row r="39" spans="1:5" ht="15.75" customHeight="1">
      <c r="A39" s="193" t="s">
        <v>1281</v>
      </c>
      <c r="B39" s="149" t="s">
        <v>2802</v>
      </c>
      <c r="C39" s="13" t="s">
        <v>1728</v>
      </c>
      <c r="D39" s="156" t="s">
        <v>2803</v>
      </c>
      <c r="E39" s="134">
        <v>21850</v>
      </c>
    </row>
    <row r="40" spans="1:5" ht="15.75" customHeight="1">
      <c r="A40" s="193" t="s">
        <v>1284</v>
      </c>
      <c r="B40" s="149" t="s">
        <v>2804</v>
      </c>
      <c r="C40" s="13" t="s">
        <v>1177</v>
      </c>
      <c r="D40" s="194" t="s">
        <v>2805</v>
      </c>
      <c r="E40" s="134">
        <v>97500</v>
      </c>
    </row>
    <row r="41" spans="1:5" ht="15.75" customHeight="1">
      <c r="A41" s="193" t="s">
        <v>1286</v>
      </c>
      <c r="B41" s="12" t="s">
        <v>2806</v>
      </c>
      <c r="C41" s="13" t="s">
        <v>2807</v>
      </c>
      <c r="D41" s="194" t="s">
        <v>2070</v>
      </c>
      <c r="E41" s="134">
        <v>136000</v>
      </c>
    </row>
    <row r="42" spans="1:5" ht="15.75" customHeight="1">
      <c r="A42" s="193" t="s">
        <v>1288</v>
      </c>
      <c r="B42" s="149" t="s">
        <v>2808</v>
      </c>
      <c r="C42" s="13" t="s">
        <v>15</v>
      </c>
      <c r="D42" s="171" t="s">
        <v>2809</v>
      </c>
      <c r="E42" s="134">
        <v>49704.01</v>
      </c>
    </row>
    <row r="43" spans="1:5">
      <c r="A43" s="193" t="s">
        <v>1290</v>
      </c>
      <c r="B43" s="149" t="s">
        <v>2559</v>
      </c>
      <c r="C43" s="13" t="s">
        <v>15</v>
      </c>
      <c r="D43" s="171" t="s">
        <v>2810</v>
      </c>
      <c r="E43" s="134">
        <v>16000</v>
      </c>
    </row>
    <row r="44" spans="1:5" ht="15.75" customHeight="1">
      <c r="A44" s="193" t="s">
        <v>1293</v>
      </c>
      <c r="B44" s="12" t="s">
        <v>2811</v>
      </c>
      <c r="C44" s="13" t="s">
        <v>1728</v>
      </c>
      <c r="D44" s="171" t="s">
        <v>2812</v>
      </c>
      <c r="E44" s="134">
        <v>81944</v>
      </c>
    </row>
    <row r="45" spans="1:5" ht="15.75" customHeight="1">
      <c r="A45" s="193" t="s">
        <v>1295</v>
      </c>
      <c r="B45" s="12" t="s">
        <v>2813</v>
      </c>
      <c r="C45" s="13" t="s">
        <v>2472</v>
      </c>
      <c r="D45" s="171" t="s">
        <v>2814</v>
      </c>
      <c r="E45" s="134">
        <v>11000</v>
      </c>
    </row>
    <row r="46" spans="1:5" ht="15.75" customHeight="1">
      <c r="A46" s="193" t="s">
        <v>1297</v>
      </c>
      <c r="B46" s="149" t="s">
        <v>2815</v>
      </c>
      <c r="C46" s="13" t="s">
        <v>2780</v>
      </c>
      <c r="D46" s="156" t="s">
        <v>2816</v>
      </c>
      <c r="E46" s="134">
        <v>67725</v>
      </c>
    </row>
    <row r="47" spans="1:5" ht="15.75" customHeight="1">
      <c r="A47" s="193" t="s">
        <v>1301</v>
      </c>
      <c r="B47" s="149" t="s">
        <v>2817</v>
      </c>
      <c r="C47" s="13" t="s">
        <v>2642</v>
      </c>
      <c r="D47" s="156" t="s">
        <v>2818</v>
      </c>
      <c r="E47" s="134">
        <v>41644</v>
      </c>
    </row>
    <row r="48" spans="1:5" ht="15.75" customHeight="1">
      <c r="A48" s="193" t="s">
        <v>1303</v>
      </c>
      <c r="B48" s="149" t="s">
        <v>2819</v>
      </c>
      <c r="C48" s="13" t="s">
        <v>2733</v>
      </c>
      <c r="D48" s="156" t="s">
        <v>2820</v>
      </c>
      <c r="E48" s="134">
        <v>11200</v>
      </c>
    </row>
    <row r="49" spans="1:5" ht="15.75" customHeight="1">
      <c r="A49" s="193" t="s">
        <v>1306</v>
      </c>
      <c r="B49" s="12" t="s">
        <v>2821</v>
      </c>
      <c r="C49" s="13" t="s">
        <v>2822</v>
      </c>
      <c r="D49" s="171" t="s">
        <v>2823</v>
      </c>
      <c r="E49" s="134">
        <v>24500</v>
      </c>
    </row>
    <row r="50" spans="1:5" ht="15.75" customHeight="1">
      <c r="A50" s="193" t="s">
        <v>1310</v>
      </c>
      <c r="B50" s="191" t="s">
        <v>2824</v>
      </c>
      <c r="C50" s="13" t="s">
        <v>15</v>
      </c>
      <c r="D50" s="171" t="s">
        <v>2825</v>
      </c>
      <c r="E50" s="134">
        <v>19639.73</v>
      </c>
    </row>
    <row r="51" spans="1:5" ht="15.75" customHeight="1">
      <c r="A51" s="193" t="s">
        <v>1312</v>
      </c>
      <c r="B51" s="12" t="s">
        <v>2826</v>
      </c>
      <c r="C51" s="13" t="s">
        <v>1177</v>
      </c>
      <c r="D51" s="156" t="s">
        <v>2827</v>
      </c>
      <c r="E51" s="134">
        <v>679000</v>
      </c>
    </row>
    <row r="52" spans="1:5" ht="15.75" customHeight="1">
      <c r="A52" s="193" t="s">
        <v>1314</v>
      </c>
      <c r="B52" s="12" t="s">
        <v>2828</v>
      </c>
      <c r="C52" s="13" t="s">
        <v>2829</v>
      </c>
      <c r="D52" s="156" t="s">
        <v>1346</v>
      </c>
      <c r="E52" s="134">
        <v>48000</v>
      </c>
    </row>
    <row r="53" spans="1:5" ht="15.75" customHeight="1">
      <c r="A53" s="193" t="s">
        <v>1316</v>
      </c>
      <c r="B53" s="12" t="s">
        <v>2830</v>
      </c>
      <c r="C53" s="13" t="s">
        <v>2831</v>
      </c>
      <c r="D53" s="156" t="s">
        <v>2832</v>
      </c>
      <c r="E53" s="134">
        <v>129500</v>
      </c>
    </row>
    <row r="54" spans="1:5" ht="15.75" customHeight="1">
      <c r="A54" s="108" t="s">
        <v>24</v>
      </c>
      <c r="B54" s="216"/>
      <c r="C54" s="204"/>
      <c r="D54" s="205"/>
      <c r="E54" s="49">
        <f>SUM(E12:E53)</f>
        <v>4501016.74</v>
      </c>
    </row>
    <row r="55" spans="1:5" ht="15.75" customHeight="1">
      <c r="A55" s="217" t="s">
        <v>2833</v>
      </c>
      <c r="B55" s="204"/>
      <c r="C55" s="204"/>
      <c r="D55" s="205"/>
      <c r="E55" s="192">
        <f>IF(E54&gt;=10000000,5000000*2%+5000000*1%+(E54-10000000)*1%,IF(E54&gt;=5000000,5000000*2%+(E54-5000000)*1%,E54*2%))</f>
        <v>90020.334800000011</v>
      </c>
    </row>
    <row r="56" spans="1:5" ht="15.75" customHeight="1">
      <c r="A56" s="211"/>
      <c r="B56" s="196"/>
      <c r="C56" s="196"/>
      <c r="D56" s="196"/>
      <c r="E56" s="196"/>
    </row>
    <row r="57" spans="1:5" ht="15.75" customHeight="1">
      <c r="A57" s="211"/>
      <c r="B57" s="196"/>
      <c r="C57" s="196"/>
      <c r="D57" s="196"/>
      <c r="E57" s="27"/>
    </row>
    <row r="58" spans="1:5" ht="14.25" customHeight="1">
      <c r="A58" s="211" t="s">
        <v>25</v>
      </c>
      <c r="B58" s="196"/>
      <c r="C58" s="196"/>
      <c r="D58" s="196"/>
      <c r="E58" s="196"/>
    </row>
    <row r="59" spans="1:5" ht="35.25" customHeight="1">
      <c r="A59" s="211"/>
      <c r="B59" s="196"/>
      <c r="C59" s="196"/>
      <c r="D59" s="196"/>
      <c r="E59" s="196"/>
    </row>
    <row r="60" spans="1:5" ht="15.75" customHeight="1">
      <c r="A60" s="211" t="s">
        <v>26</v>
      </c>
      <c r="B60" s="196"/>
      <c r="C60" s="196"/>
      <c r="D60" s="196"/>
      <c r="E60" s="196"/>
    </row>
    <row r="61" spans="1:5" ht="15.75" customHeight="1">
      <c r="A61" s="211" t="s">
        <v>27</v>
      </c>
      <c r="B61" s="196"/>
      <c r="C61" s="196"/>
      <c r="D61" s="196"/>
      <c r="E61" s="196"/>
    </row>
    <row r="62" spans="1:5" ht="15.75" customHeight="1">
      <c r="A62" s="211" t="s">
        <v>28</v>
      </c>
      <c r="B62" s="196"/>
      <c r="C62" s="196"/>
      <c r="D62" s="196"/>
      <c r="E62" s="196"/>
    </row>
  </sheetData>
  <mergeCells count="19">
    <mergeCell ref="A61:E61"/>
    <mergeCell ref="A62:E62"/>
    <mergeCell ref="A8:E8"/>
    <mergeCell ref="A9:E9"/>
    <mergeCell ref="A10:E10"/>
    <mergeCell ref="B54:D54"/>
    <mergeCell ref="A55:D55"/>
    <mergeCell ref="A56:E56"/>
    <mergeCell ref="A57:D57"/>
    <mergeCell ref="A6:E6"/>
    <mergeCell ref="A7:E7"/>
    <mergeCell ref="A58:E58"/>
    <mergeCell ref="A59:E59"/>
    <mergeCell ref="A60:E60"/>
    <mergeCell ref="A1:E1"/>
    <mergeCell ref="A2:E2"/>
    <mergeCell ref="A3:E3"/>
    <mergeCell ref="A4:E4"/>
    <mergeCell ref="A5:E5"/>
  </mergeCells>
  <conditionalFormatting sqref="E12:E53">
    <cfRule type="notContainsBlanks" dxfId="7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  <pageSetUpPr fitToPage="1"/>
  </sheetPr>
  <dimension ref="A1:E52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57.6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7" t="s">
        <v>2475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2834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93" t="s">
        <v>1209</v>
      </c>
      <c r="B12" s="149" t="s">
        <v>2743</v>
      </c>
      <c r="C12" s="13" t="s">
        <v>805</v>
      </c>
      <c r="D12" s="156" t="s">
        <v>2744</v>
      </c>
      <c r="E12" s="134">
        <v>1661300</v>
      </c>
    </row>
    <row r="13" spans="1:5" ht="16.5" customHeight="1">
      <c r="A13" s="193" t="s">
        <v>1212</v>
      </c>
      <c r="B13" s="149" t="s">
        <v>2751</v>
      </c>
      <c r="C13" s="13" t="s">
        <v>2502</v>
      </c>
      <c r="D13" s="156" t="s">
        <v>2752</v>
      </c>
      <c r="E13" s="134">
        <v>1600</v>
      </c>
    </row>
    <row r="14" spans="1:5" ht="15.75" customHeight="1">
      <c r="A14" s="193" t="s">
        <v>1215</v>
      </c>
      <c r="B14" s="149" t="s">
        <v>2753</v>
      </c>
      <c r="C14" s="13" t="s">
        <v>2502</v>
      </c>
      <c r="D14" s="194" t="s">
        <v>2754</v>
      </c>
      <c r="E14" s="134">
        <v>1500</v>
      </c>
    </row>
    <row r="15" spans="1:5" ht="15.75" customHeight="1">
      <c r="A15" s="193" t="s">
        <v>1217</v>
      </c>
      <c r="B15" s="12" t="s">
        <v>2755</v>
      </c>
      <c r="C15" s="13" t="s">
        <v>2051</v>
      </c>
      <c r="D15" s="194" t="s">
        <v>2756</v>
      </c>
      <c r="E15" s="134">
        <v>9257</v>
      </c>
    </row>
    <row r="16" spans="1:5" ht="15.75" customHeight="1">
      <c r="A16" s="193" t="s">
        <v>1221</v>
      </c>
      <c r="B16" s="12" t="s">
        <v>2760</v>
      </c>
      <c r="C16" s="13" t="s">
        <v>1203</v>
      </c>
      <c r="D16" s="171" t="s">
        <v>2761</v>
      </c>
      <c r="E16" s="134">
        <v>118340</v>
      </c>
    </row>
    <row r="17" spans="1:5" ht="15.75" customHeight="1">
      <c r="A17" s="193" t="s">
        <v>1224</v>
      </c>
      <c r="B17" s="12" t="s">
        <v>2762</v>
      </c>
      <c r="C17" s="13" t="s">
        <v>1203</v>
      </c>
      <c r="D17" s="171" t="s">
        <v>2763</v>
      </c>
      <c r="E17" s="134">
        <v>6350</v>
      </c>
    </row>
    <row r="18" spans="1:5" ht="15.75" customHeight="1">
      <c r="A18" s="193" t="s">
        <v>1226</v>
      </c>
      <c r="B18" s="149" t="s">
        <v>142</v>
      </c>
      <c r="C18" s="13" t="s">
        <v>2634</v>
      </c>
      <c r="D18" s="156" t="s">
        <v>2764</v>
      </c>
      <c r="E18" s="134">
        <v>122200</v>
      </c>
    </row>
    <row r="19" spans="1:5" ht="15.75" customHeight="1">
      <c r="A19" s="193" t="s">
        <v>1228</v>
      </c>
      <c r="B19" s="149" t="s">
        <v>2765</v>
      </c>
      <c r="C19" s="13" t="s">
        <v>2642</v>
      </c>
      <c r="D19" s="156" t="s">
        <v>2766</v>
      </c>
      <c r="E19" s="134">
        <v>40059</v>
      </c>
    </row>
    <row r="20" spans="1:5" ht="15.75" customHeight="1">
      <c r="A20" s="193" t="s">
        <v>1230</v>
      </c>
      <c r="B20" s="149" t="s">
        <v>2767</v>
      </c>
      <c r="C20" s="13" t="s">
        <v>2634</v>
      </c>
      <c r="D20" s="171" t="s">
        <v>2768</v>
      </c>
      <c r="E20" s="134">
        <v>137500</v>
      </c>
    </row>
    <row r="21" spans="1:5" ht="15.75" customHeight="1">
      <c r="A21" s="193" t="s">
        <v>1232</v>
      </c>
      <c r="B21" s="149" t="s">
        <v>2769</v>
      </c>
      <c r="C21" s="13" t="s">
        <v>1728</v>
      </c>
      <c r="D21" s="156" t="s">
        <v>2770</v>
      </c>
      <c r="E21" s="134">
        <v>17150</v>
      </c>
    </row>
    <row r="22" spans="1:5" ht="15.75" customHeight="1">
      <c r="A22" s="193" t="s">
        <v>1234</v>
      </c>
      <c r="B22" s="149" t="s">
        <v>2773</v>
      </c>
      <c r="C22" s="13" t="s">
        <v>2774</v>
      </c>
      <c r="D22" s="156" t="s">
        <v>2775</v>
      </c>
      <c r="E22" s="134">
        <v>9300</v>
      </c>
    </row>
    <row r="23" spans="1:5" ht="15.75" customHeight="1">
      <c r="A23" s="193" t="s">
        <v>1236</v>
      </c>
      <c r="B23" s="149" t="s">
        <v>2776</v>
      </c>
      <c r="C23" s="13" t="s">
        <v>2777</v>
      </c>
      <c r="D23" s="156" t="s">
        <v>2778</v>
      </c>
      <c r="E23" s="134">
        <v>49950</v>
      </c>
    </row>
    <row r="24" spans="1:5" ht="15.75" customHeight="1">
      <c r="A24" s="193" t="s">
        <v>1240</v>
      </c>
      <c r="B24" s="149" t="s">
        <v>2782</v>
      </c>
      <c r="C24" s="13" t="s">
        <v>1728</v>
      </c>
      <c r="D24" s="156" t="s">
        <v>2783</v>
      </c>
      <c r="E24" s="134">
        <v>2245</v>
      </c>
    </row>
    <row r="25" spans="1:5" ht="15.75" customHeight="1">
      <c r="A25" s="193" t="s">
        <v>1242</v>
      </c>
      <c r="B25" s="149" t="s">
        <v>2784</v>
      </c>
      <c r="C25" s="13" t="s">
        <v>2785</v>
      </c>
      <c r="D25" s="171" t="s">
        <v>2786</v>
      </c>
      <c r="E25" s="134">
        <v>12000</v>
      </c>
    </row>
    <row r="26" spans="1:5" ht="15.75" customHeight="1">
      <c r="A26" s="193" t="s">
        <v>1245</v>
      </c>
      <c r="B26" s="149" t="s">
        <v>2789</v>
      </c>
      <c r="C26" s="13" t="s">
        <v>2051</v>
      </c>
      <c r="D26" s="156" t="s">
        <v>2790</v>
      </c>
      <c r="E26" s="134">
        <v>17684</v>
      </c>
    </row>
    <row r="27" spans="1:5" ht="15.75" customHeight="1">
      <c r="A27" s="193" t="s">
        <v>1247</v>
      </c>
      <c r="B27" s="149" t="s">
        <v>2791</v>
      </c>
      <c r="C27" s="13" t="s">
        <v>2792</v>
      </c>
      <c r="D27" s="156" t="s">
        <v>2793</v>
      </c>
      <c r="E27" s="134">
        <v>331500</v>
      </c>
    </row>
    <row r="28" spans="1:5" ht="15.75" customHeight="1">
      <c r="A28" s="193" t="s">
        <v>1249</v>
      </c>
      <c r="B28" s="149" t="s">
        <v>2794</v>
      </c>
      <c r="C28" s="13" t="s">
        <v>1906</v>
      </c>
      <c r="D28" s="156" t="s">
        <v>2795</v>
      </c>
      <c r="E28" s="134">
        <v>135000</v>
      </c>
    </row>
    <row r="29" spans="1:5" ht="15.75" customHeight="1">
      <c r="A29" s="193" t="s">
        <v>1252</v>
      </c>
      <c r="B29" s="149" t="s">
        <v>2796</v>
      </c>
      <c r="C29" s="13" t="s">
        <v>2260</v>
      </c>
      <c r="D29" s="156" t="s">
        <v>2797</v>
      </c>
      <c r="E29" s="134">
        <v>13080</v>
      </c>
    </row>
    <row r="30" spans="1:5" ht="15.75" customHeight="1">
      <c r="A30" s="193" t="s">
        <v>1255</v>
      </c>
      <c r="B30" s="149" t="s">
        <v>2798</v>
      </c>
      <c r="C30" s="13" t="s">
        <v>1728</v>
      </c>
      <c r="D30" s="156" t="s">
        <v>2799</v>
      </c>
      <c r="E30" s="134">
        <v>20070</v>
      </c>
    </row>
    <row r="31" spans="1:5" ht="15.75" customHeight="1">
      <c r="A31" s="193" t="s">
        <v>1257</v>
      </c>
      <c r="B31" s="149" t="s">
        <v>2800</v>
      </c>
      <c r="C31" s="13" t="s">
        <v>1728</v>
      </c>
      <c r="D31" s="171" t="s">
        <v>2801</v>
      </c>
      <c r="E31" s="134">
        <v>11975</v>
      </c>
    </row>
    <row r="32" spans="1:5" ht="15.75" customHeight="1">
      <c r="A32" s="193" t="s">
        <v>1259</v>
      </c>
      <c r="B32" s="149" t="s">
        <v>2802</v>
      </c>
      <c r="C32" s="13" t="s">
        <v>1728</v>
      </c>
      <c r="D32" s="156" t="s">
        <v>2803</v>
      </c>
      <c r="E32" s="134">
        <v>21850</v>
      </c>
    </row>
    <row r="33" spans="1:5" ht="15.75" customHeight="1">
      <c r="A33" s="193" t="s">
        <v>1263</v>
      </c>
      <c r="B33" s="149" t="s">
        <v>2804</v>
      </c>
      <c r="C33" s="13" t="s">
        <v>1177</v>
      </c>
      <c r="D33" s="194" t="s">
        <v>2805</v>
      </c>
      <c r="E33" s="134">
        <v>97500</v>
      </c>
    </row>
    <row r="34" spans="1:5" ht="15.75" customHeight="1">
      <c r="A34" s="193" t="s">
        <v>1267</v>
      </c>
      <c r="B34" s="12" t="s">
        <v>2806</v>
      </c>
      <c r="C34" s="13" t="s">
        <v>2807</v>
      </c>
      <c r="D34" s="194" t="s">
        <v>2070</v>
      </c>
      <c r="E34" s="134">
        <v>136000</v>
      </c>
    </row>
    <row r="35" spans="1:5">
      <c r="A35" s="193" t="s">
        <v>1270</v>
      </c>
      <c r="B35" s="149" t="s">
        <v>2559</v>
      </c>
      <c r="C35" s="13" t="s">
        <v>15</v>
      </c>
      <c r="D35" s="171" t="s">
        <v>2810</v>
      </c>
      <c r="E35" s="134">
        <v>16000</v>
      </c>
    </row>
    <row r="36" spans="1:5" ht="15.75" customHeight="1">
      <c r="A36" s="193" t="s">
        <v>1273</v>
      </c>
      <c r="B36" s="12" t="s">
        <v>2811</v>
      </c>
      <c r="C36" s="13" t="s">
        <v>1728</v>
      </c>
      <c r="D36" s="171" t="s">
        <v>2812</v>
      </c>
      <c r="E36" s="134">
        <v>81275</v>
      </c>
    </row>
    <row r="37" spans="1:5" ht="15.75" customHeight="1">
      <c r="A37" s="193" t="s">
        <v>1275</v>
      </c>
      <c r="B37" s="149" t="s">
        <v>2815</v>
      </c>
      <c r="C37" s="13" t="s">
        <v>2780</v>
      </c>
      <c r="D37" s="156" t="s">
        <v>2816</v>
      </c>
      <c r="E37" s="134">
        <v>67725</v>
      </c>
    </row>
    <row r="38" spans="1:5" ht="15.75" customHeight="1">
      <c r="A38" s="193" t="s">
        <v>1278</v>
      </c>
      <c r="B38" s="149" t="s">
        <v>2819</v>
      </c>
      <c r="C38" s="13" t="s">
        <v>2733</v>
      </c>
      <c r="D38" s="156" t="s">
        <v>2820</v>
      </c>
      <c r="E38" s="134">
        <v>11200</v>
      </c>
    </row>
    <row r="39" spans="1:5" ht="15.75" customHeight="1">
      <c r="A39" s="193" t="s">
        <v>1281</v>
      </c>
      <c r="B39" s="12" t="s">
        <v>2821</v>
      </c>
      <c r="C39" s="13" t="s">
        <v>2822</v>
      </c>
      <c r="D39" s="171" t="s">
        <v>2823</v>
      </c>
      <c r="E39" s="134">
        <v>24500</v>
      </c>
    </row>
    <row r="40" spans="1:5" ht="15.75" customHeight="1">
      <c r="A40" s="193" t="s">
        <v>1284</v>
      </c>
      <c r="B40" s="191" t="s">
        <v>2824</v>
      </c>
      <c r="C40" s="13" t="s">
        <v>15</v>
      </c>
      <c r="D40" s="171" t="s">
        <v>2825</v>
      </c>
      <c r="E40" s="134">
        <v>19639.73</v>
      </c>
    </row>
    <row r="41" spans="1:5" ht="15.75" customHeight="1">
      <c r="A41" s="193" t="s">
        <v>1286</v>
      </c>
      <c r="B41" s="12" t="s">
        <v>2826</v>
      </c>
      <c r="C41" s="13" t="s">
        <v>1177</v>
      </c>
      <c r="D41" s="156" t="s">
        <v>2827</v>
      </c>
      <c r="E41" s="134">
        <v>679000</v>
      </c>
    </row>
    <row r="42" spans="1:5" ht="15.75" customHeight="1">
      <c r="A42" s="193" t="s">
        <v>1288</v>
      </c>
      <c r="B42" s="12" t="s">
        <v>2828</v>
      </c>
      <c r="C42" s="13" t="s">
        <v>2829</v>
      </c>
      <c r="D42" s="156" t="s">
        <v>1346</v>
      </c>
      <c r="E42" s="134">
        <v>48000</v>
      </c>
    </row>
    <row r="43" spans="1:5" ht="15.75" customHeight="1">
      <c r="A43" s="193" t="s">
        <v>1290</v>
      </c>
      <c r="B43" s="12" t="s">
        <v>2830</v>
      </c>
      <c r="C43" s="13" t="s">
        <v>2831</v>
      </c>
      <c r="D43" s="156" t="s">
        <v>2832</v>
      </c>
      <c r="E43" s="134">
        <v>129500</v>
      </c>
    </row>
    <row r="44" spans="1:5" ht="15.75" customHeight="1">
      <c r="A44" s="108" t="s">
        <v>24</v>
      </c>
      <c r="B44" s="216"/>
      <c r="C44" s="204"/>
      <c r="D44" s="205"/>
      <c r="E44" s="49">
        <f>SUM(E12:E43)</f>
        <v>4050249.73</v>
      </c>
    </row>
    <row r="45" spans="1:5" ht="15.75" customHeight="1">
      <c r="A45" s="217" t="s">
        <v>2833</v>
      </c>
      <c r="B45" s="204"/>
      <c r="C45" s="204"/>
      <c r="D45" s="205"/>
      <c r="E45" s="192">
        <f>E44*8%</f>
        <v>324019.97840000002</v>
      </c>
    </row>
    <row r="46" spans="1:5" ht="15.75" customHeight="1">
      <c r="A46" s="211"/>
      <c r="B46" s="196"/>
      <c r="C46" s="196"/>
      <c r="D46" s="196"/>
      <c r="E46" s="196"/>
    </row>
    <row r="47" spans="1:5" ht="15.75" customHeight="1">
      <c r="A47" s="211"/>
      <c r="B47" s="196"/>
      <c r="C47" s="196"/>
      <c r="D47" s="196"/>
      <c r="E47" s="27"/>
    </row>
    <row r="48" spans="1:5" ht="14.25" customHeight="1">
      <c r="A48" s="211" t="s">
        <v>25</v>
      </c>
      <c r="B48" s="196"/>
      <c r="C48" s="196"/>
      <c r="D48" s="196"/>
      <c r="E48" s="196"/>
    </row>
    <row r="49" spans="1:5" ht="35.25" customHeight="1">
      <c r="A49" s="211"/>
      <c r="B49" s="196"/>
      <c r="C49" s="196"/>
      <c r="D49" s="196"/>
      <c r="E49" s="196"/>
    </row>
    <row r="50" spans="1:5" ht="15.75" customHeight="1">
      <c r="A50" s="211" t="s">
        <v>26</v>
      </c>
      <c r="B50" s="196"/>
      <c r="C50" s="196"/>
      <c r="D50" s="196"/>
      <c r="E50" s="196"/>
    </row>
    <row r="51" spans="1:5" ht="15.75" customHeight="1">
      <c r="A51" s="211" t="s">
        <v>27</v>
      </c>
      <c r="B51" s="196"/>
      <c r="C51" s="196"/>
      <c r="D51" s="196"/>
      <c r="E51" s="196"/>
    </row>
    <row r="52" spans="1:5" ht="15.75" customHeight="1">
      <c r="A52" s="211" t="s">
        <v>28</v>
      </c>
      <c r="B52" s="196"/>
      <c r="C52" s="196"/>
      <c r="D52" s="196"/>
      <c r="E52" s="196"/>
    </row>
  </sheetData>
  <mergeCells count="19">
    <mergeCell ref="A51:E51"/>
    <mergeCell ref="A52:E52"/>
    <mergeCell ref="A8:E8"/>
    <mergeCell ref="A9:E9"/>
    <mergeCell ref="A10:E10"/>
    <mergeCell ref="B44:D44"/>
    <mergeCell ref="A45:D45"/>
    <mergeCell ref="A46:E46"/>
    <mergeCell ref="A47:D47"/>
    <mergeCell ref="A6:E6"/>
    <mergeCell ref="A7:E7"/>
    <mergeCell ref="A48:E48"/>
    <mergeCell ref="A49:E49"/>
    <mergeCell ref="A50:E50"/>
    <mergeCell ref="A1:E1"/>
    <mergeCell ref="A2:E2"/>
    <mergeCell ref="A3:E3"/>
    <mergeCell ref="A4:E4"/>
    <mergeCell ref="A5:E5"/>
  </mergeCells>
  <conditionalFormatting sqref="E12:E43">
    <cfRule type="notContainsBlanks" dxfId="6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  <pageSetUpPr fitToPage="1"/>
  </sheetPr>
  <dimension ref="A1:E53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57.6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7" t="s">
        <v>2475</v>
      </c>
      <c r="B2" s="196"/>
      <c r="C2" s="196"/>
      <c r="D2" s="196"/>
      <c r="E2" s="196"/>
    </row>
    <row r="3" spans="1:5" ht="15.75" customHeight="1">
      <c r="A3" s="215" t="s">
        <v>2</v>
      </c>
      <c r="B3" s="196"/>
      <c r="C3" s="196"/>
      <c r="D3" s="196"/>
      <c r="E3" s="196"/>
    </row>
    <row r="4" spans="1:5" ht="15.75" customHeight="1">
      <c r="A4" s="215" t="s">
        <v>3</v>
      </c>
      <c r="B4" s="196"/>
      <c r="C4" s="196"/>
      <c r="D4" s="196"/>
      <c r="E4" s="196"/>
    </row>
    <row r="5" spans="1:5" ht="15.75" customHeight="1">
      <c r="A5" s="215" t="s">
        <v>4</v>
      </c>
      <c r="B5" s="196"/>
      <c r="C5" s="196"/>
      <c r="D5" s="196"/>
      <c r="E5" s="196"/>
    </row>
    <row r="6" spans="1:5" ht="15.75" customHeight="1">
      <c r="A6" s="215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2835</v>
      </c>
      <c r="B9" s="196"/>
      <c r="C9" s="196"/>
      <c r="D9" s="196"/>
      <c r="E9" s="196"/>
    </row>
    <row r="10" spans="1:5" ht="15.75" customHeight="1">
      <c r="A10" s="212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77" t="s">
        <v>1209</v>
      </c>
      <c r="B12" s="12" t="s">
        <v>2836</v>
      </c>
      <c r="C12" s="13" t="s">
        <v>2694</v>
      </c>
      <c r="D12" s="171" t="s">
        <v>2837</v>
      </c>
      <c r="E12" s="134">
        <v>24614.07</v>
      </c>
    </row>
    <row r="13" spans="1:5" ht="15.75" customHeight="1">
      <c r="A13" s="177" t="s">
        <v>1212</v>
      </c>
      <c r="B13" s="12" t="s">
        <v>2838</v>
      </c>
      <c r="C13" s="13" t="s">
        <v>2839</v>
      </c>
      <c r="D13" s="171" t="s">
        <v>2840</v>
      </c>
      <c r="E13" s="134">
        <v>7500</v>
      </c>
    </row>
    <row r="14" spans="1:5" ht="15.75" customHeight="1">
      <c r="A14" s="177" t="s">
        <v>1215</v>
      </c>
      <c r="B14" s="12" t="s">
        <v>2841</v>
      </c>
      <c r="C14" s="13" t="s">
        <v>828</v>
      </c>
      <c r="D14" s="171" t="s">
        <v>2842</v>
      </c>
      <c r="E14" s="134">
        <v>9500</v>
      </c>
    </row>
    <row r="15" spans="1:5" ht="15.75" customHeight="1">
      <c r="A15" s="177" t="s">
        <v>1217</v>
      </c>
      <c r="B15" s="12" t="s">
        <v>2843</v>
      </c>
      <c r="C15" s="13" t="s">
        <v>2844</v>
      </c>
      <c r="D15" s="171" t="s">
        <v>1368</v>
      </c>
      <c r="E15" s="134">
        <v>90000</v>
      </c>
    </row>
    <row r="16" spans="1:5" ht="15.75" customHeight="1">
      <c r="A16" s="177" t="s">
        <v>1221</v>
      </c>
      <c r="B16" s="12" t="s">
        <v>2845</v>
      </c>
      <c r="C16" s="13" t="s">
        <v>45</v>
      </c>
      <c r="D16" s="171" t="s">
        <v>2846</v>
      </c>
      <c r="E16" s="134">
        <v>36582</v>
      </c>
    </row>
    <row r="17" spans="1:5" ht="15.75" customHeight="1">
      <c r="A17" s="177" t="s">
        <v>1224</v>
      </c>
      <c r="B17" s="149" t="s">
        <v>2847</v>
      </c>
      <c r="C17" s="13" t="s">
        <v>2516</v>
      </c>
      <c r="D17" s="156" t="s">
        <v>2848</v>
      </c>
      <c r="E17" s="134">
        <v>215200</v>
      </c>
    </row>
    <row r="18" spans="1:5" ht="15.75" customHeight="1">
      <c r="A18" s="177" t="s">
        <v>1226</v>
      </c>
      <c r="B18" s="149" t="s">
        <v>2849</v>
      </c>
      <c r="C18" s="13" t="s">
        <v>2516</v>
      </c>
      <c r="D18" s="156" t="s">
        <v>2850</v>
      </c>
      <c r="E18" s="134">
        <v>272000</v>
      </c>
    </row>
    <row r="19" spans="1:5" ht="15.75" customHeight="1">
      <c r="A19" s="177" t="s">
        <v>1228</v>
      </c>
      <c r="B19" s="149" t="s">
        <v>2851</v>
      </c>
      <c r="C19" s="13" t="s">
        <v>2516</v>
      </c>
      <c r="D19" s="156" t="s">
        <v>2852</v>
      </c>
      <c r="E19" s="134">
        <v>5738937.0099999998</v>
      </c>
    </row>
    <row r="20" spans="1:5" ht="15.75" customHeight="1">
      <c r="A20" s="177" t="s">
        <v>1230</v>
      </c>
      <c r="B20" s="149" t="s">
        <v>2853</v>
      </c>
      <c r="C20" s="13" t="s">
        <v>2516</v>
      </c>
      <c r="D20" s="156" t="s">
        <v>2854</v>
      </c>
      <c r="E20" s="134">
        <v>10930010.08</v>
      </c>
    </row>
    <row r="21" spans="1:5" ht="15.75" customHeight="1">
      <c r="A21" s="177" t="s">
        <v>1232</v>
      </c>
      <c r="B21" s="12" t="s">
        <v>2855</v>
      </c>
      <c r="C21" s="13" t="s">
        <v>71</v>
      </c>
      <c r="D21" s="171" t="s">
        <v>2856</v>
      </c>
      <c r="E21" s="134">
        <v>19270</v>
      </c>
    </row>
    <row r="22" spans="1:5" ht="15.75" customHeight="1">
      <c r="A22" s="177" t="s">
        <v>1234</v>
      </c>
      <c r="B22" s="149" t="s">
        <v>2857</v>
      </c>
      <c r="C22" s="13" t="s">
        <v>2671</v>
      </c>
      <c r="D22" s="156" t="s">
        <v>2858</v>
      </c>
      <c r="E22" s="134">
        <v>15840</v>
      </c>
    </row>
    <row r="23" spans="1:5" ht="15.75" customHeight="1">
      <c r="A23" s="177" t="s">
        <v>1236</v>
      </c>
      <c r="B23" s="149" t="s">
        <v>2859</v>
      </c>
      <c r="C23" s="13" t="s">
        <v>2671</v>
      </c>
      <c r="D23" s="156" t="s">
        <v>2860</v>
      </c>
      <c r="E23" s="14">
        <v>18720</v>
      </c>
    </row>
    <row r="24" spans="1:5" ht="15.75" customHeight="1">
      <c r="A24" s="177" t="s">
        <v>1240</v>
      </c>
      <c r="B24" s="12" t="s">
        <v>2861</v>
      </c>
      <c r="C24" s="13" t="s">
        <v>1728</v>
      </c>
      <c r="D24" s="156" t="s">
        <v>2862</v>
      </c>
      <c r="E24" s="134">
        <v>9692</v>
      </c>
    </row>
    <row r="25" spans="1:5" ht="15.75" customHeight="1">
      <c r="A25" s="177" t="s">
        <v>1242</v>
      </c>
      <c r="B25" s="12" t="s">
        <v>2863</v>
      </c>
      <c r="C25" s="13" t="s">
        <v>2831</v>
      </c>
      <c r="D25" s="156" t="s">
        <v>2864</v>
      </c>
      <c r="E25" s="134">
        <v>14600</v>
      </c>
    </row>
    <row r="26" spans="1:5" ht="15.75" customHeight="1">
      <c r="A26" s="177" t="s">
        <v>1245</v>
      </c>
      <c r="B26" s="12" t="s">
        <v>2865</v>
      </c>
      <c r="C26" s="13" t="s">
        <v>378</v>
      </c>
      <c r="D26" s="156" t="s">
        <v>2866</v>
      </c>
      <c r="E26" s="134">
        <v>3478.28</v>
      </c>
    </row>
    <row r="27" spans="1:5" ht="15.75" customHeight="1">
      <c r="A27" s="177" t="s">
        <v>1247</v>
      </c>
      <c r="B27" s="12" t="s">
        <v>2867</v>
      </c>
      <c r="C27" s="13" t="s">
        <v>2051</v>
      </c>
      <c r="D27" s="156" t="s">
        <v>2868</v>
      </c>
      <c r="E27" s="134">
        <v>13379</v>
      </c>
    </row>
    <row r="28" spans="1:5" ht="15.75" customHeight="1">
      <c r="A28" s="177" t="s">
        <v>1249</v>
      </c>
      <c r="B28" s="12" t="s">
        <v>2869</v>
      </c>
      <c r="C28" s="13" t="s">
        <v>403</v>
      </c>
      <c r="D28" s="156" t="s">
        <v>2870</v>
      </c>
      <c r="E28" s="134">
        <v>9600</v>
      </c>
    </row>
    <row r="29" spans="1:5" ht="15.75" customHeight="1">
      <c r="A29" s="177" t="s">
        <v>1252</v>
      </c>
      <c r="B29" s="12" t="s">
        <v>2871</v>
      </c>
      <c r="C29" s="13" t="s">
        <v>45</v>
      </c>
      <c r="D29" s="156" t="s">
        <v>2872</v>
      </c>
      <c r="E29" s="134">
        <v>2745</v>
      </c>
    </row>
    <row r="30" spans="1:5" ht="15.75" customHeight="1">
      <c r="A30" s="177" t="s">
        <v>1255</v>
      </c>
      <c r="B30" s="12" t="s">
        <v>2873</v>
      </c>
      <c r="C30" s="13" t="s">
        <v>378</v>
      </c>
      <c r="D30" s="156" t="s">
        <v>2874</v>
      </c>
      <c r="E30" s="134">
        <v>5381</v>
      </c>
    </row>
    <row r="31" spans="1:5" ht="15.75" customHeight="1">
      <c r="A31" s="177" t="s">
        <v>1257</v>
      </c>
      <c r="B31" s="12" t="s">
        <v>2875</v>
      </c>
      <c r="C31" s="13" t="s">
        <v>2831</v>
      </c>
      <c r="D31" s="156" t="s">
        <v>2876</v>
      </c>
      <c r="E31" s="134">
        <v>8300</v>
      </c>
    </row>
    <row r="32" spans="1:5" ht="15.75" customHeight="1">
      <c r="A32" s="177" t="s">
        <v>1259</v>
      </c>
      <c r="B32" s="149" t="s">
        <v>2877</v>
      </c>
      <c r="C32" s="13" t="s">
        <v>81</v>
      </c>
      <c r="D32" s="156" t="s">
        <v>2878</v>
      </c>
      <c r="E32" s="134">
        <v>19300</v>
      </c>
    </row>
    <row r="33" spans="1:5" ht="15.75" customHeight="1">
      <c r="A33" s="177" t="s">
        <v>1263</v>
      </c>
      <c r="B33" s="149" t="s">
        <v>2879</v>
      </c>
      <c r="C33" s="13" t="s">
        <v>56</v>
      </c>
      <c r="D33" s="156" t="s">
        <v>2880</v>
      </c>
      <c r="E33" s="134">
        <v>3728</v>
      </c>
    </row>
    <row r="34" spans="1:5" ht="15.75" customHeight="1">
      <c r="A34" s="177" t="s">
        <v>1267</v>
      </c>
      <c r="B34" s="149" t="s">
        <v>2881</v>
      </c>
      <c r="C34" s="13" t="s">
        <v>56</v>
      </c>
      <c r="D34" s="156" t="s">
        <v>2623</v>
      </c>
      <c r="E34" s="134">
        <v>23994</v>
      </c>
    </row>
    <row r="35" spans="1:5" ht="15.75" customHeight="1">
      <c r="A35" s="177" t="s">
        <v>1270</v>
      </c>
      <c r="B35" s="149" t="s">
        <v>2882</v>
      </c>
      <c r="C35" s="13" t="s">
        <v>1899</v>
      </c>
      <c r="D35" s="156" t="s">
        <v>2883</v>
      </c>
      <c r="E35" s="134">
        <v>13000</v>
      </c>
    </row>
    <row r="36" spans="1:5" ht="15.75" customHeight="1">
      <c r="A36" s="177" t="s">
        <v>1273</v>
      </c>
      <c r="B36" s="149" t="s">
        <v>2884</v>
      </c>
      <c r="C36" s="13" t="s">
        <v>2885</v>
      </c>
      <c r="D36" s="156" t="s">
        <v>2886</v>
      </c>
      <c r="E36" s="134">
        <v>28000</v>
      </c>
    </row>
    <row r="37" spans="1:5" ht="15.75" customHeight="1">
      <c r="A37" s="177" t="s">
        <v>1275</v>
      </c>
      <c r="B37" s="12" t="s">
        <v>2887</v>
      </c>
      <c r="C37" s="13" t="s">
        <v>634</v>
      </c>
      <c r="D37" s="156" t="s">
        <v>2888</v>
      </c>
      <c r="E37" s="134">
        <v>31996.84</v>
      </c>
    </row>
    <row r="38" spans="1:5" ht="15.75" customHeight="1">
      <c r="A38" s="177" t="s">
        <v>1278</v>
      </c>
      <c r="B38" s="149" t="s">
        <v>2889</v>
      </c>
      <c r="C38" s="13" t="s">
        <v>1336</v>
      </c>
      <c r="D38" s="156" t="s">
        <v>2890</v>
      </c>
      <c r="E38" s="134">
        <v>27255.599999999999</v>
      </c>
    </row>
    <row r="39" spans="1:5" ht="15.75" customHeight="1">
      <c r="A39" s="177" t="s">
        <v>1281</v>
      </c>
      <c r="B39" s="12" t="s">
        <v>2891</v>
      </c>
      <c r="C39" s="13" t="s">
        <v>2892</v>
      </c>
      <c r="D39" s="156" t="s">
        <v>2893</v>
      </c>
      <c r="E39" s="134">
        <v>83950</v>
      </c>
    </row>
    <row r="40" spans="1:5" ht="15.75" customHeight="1">
      <c r="A40" s="177" t="s">
        <v>1284</v>
      </c>
      <c r="B40" s="12" t="s">
        <v>2894</v>
      </c>
      <c r="C40" s="13" t="s">
        <v>1177</v>
      </c>
      <c r="D40" s="171" t="s">
        <v>2768</v>
      </c>
      <c r="E40" s="134">
        <v>17000</v>
      </c>
    </row>
    <row r="41" spans="1:5" ht="15.75" customHeight="1">
      <c r="A41" s="177" t="s">
        <v>1286</v>
      </c>
      <c r="B41" s="12" t="s">
        <v>2895</v>
      </c>
      <c r="C41" s="13" t="s">
        <v>2831</v>
      </c>
      <c r="D41" s="171" t="s">
        <v>2896</v>
      </c>
      <c r="E41" s="134">
        <v>8300</v>
      </c>
    </row>
    <row r="42" spans="1:5" ht="15.75" customHeight="1">
      <c r="A42" s="177" t="s">
        <v>1288</v>
      </c>
      <c r="B42" s="12" t="s">
        <v>2897</v>
      </c>
      <c r="C42" s="13" t="s">
        <v>378</v>
      </c>
      <c r="D42" s="171" t="s">
        <v>2898</v>
      </c>
      <c r="E42" s="134">
        <v>9193.4699999999993</v>
      </c>
    </row>
    <row r="43" spans="1:5" ht="15.75" customHeight="1">
      <c r="A43" s="177" t="s">
        <v>1290</v>
      </c>
      <c r="B43" s="12" t="s">
        <v>2899</v>
      </c>
      <c r="C43" s="13" t="s">
        <v>378</v>
      </c>
      <c r="D43" s="171" t="s">
        <v>2900</v>
      </c>
      <c r="E43" s="134">
        <v>1175</v>
      </c>
    </row>
    <row r="44" spans="1:5" ht="15.75" customHeight="1">
      <c r="A44" s="177" t="s">
        <v>1293</v>
      </c>
      <c r="B44" s="12" t="s">
        <v>2901</v>
      </c>
      <c r="C44" s="13" t="s">
        <v>638</v>
      </c>
      <c r="D44" s="171" t="s">
        <v>2902</v>
      </c>
      <c r="E44" s="134">
        <v>8500</v>
      </c>
    </row>
    <row r="45" spans="1:5" ht="15.75" customHeight="1">
      <c r="A45" s="105" t="s">
        <v>24</v>
      </c>
      <c r="B45" s="216"/>
      <c r="C45" s="204"/>
      <c r="D45" s="205"/>
      <c r="E45" s="49">
        <f>SUM(E13:E44)</f>
        <v>17696127.280000001</v>
      </c>
    </row>
    <row r="46" spans="1:5" ht="15.75" customHeight="1">
      <c r="A46" s="218" t="s">
        <v>2903</v>
      </c>
      <c r="B46" s="204"/>
      <c r="C46" s="204"/>
      <c r="D46" s="205"/>
      <c r="E46" s="192">
        <f>IF(E45&gt;=10000000,5000000*2%+5000000*1%+(E45-10000000)*1%,IF(E45&gt;=5000000,5000000*2%+(E45-5000000)*1%,E45*2%))</f>
        <v>226961.27280000004</v>
      </c>
    </row>
    <row r="47" spans="1:5" ht="15.75" customHeight="1">
      <c r="A47" s="212"/>
      <c r="B47" s="196"/>
      <c r="C47" s="196"/>
      <c r="D47" s="196"/>
      <c r="E47" s="196"/>
    </row>
    <row r="48" spans="1:5" ht="15.75" customHeight="1">
      <c r="A48" s="212"/>
      <c r="B48" s="196"/>
      <c r="C48" s="196"/>
      <c r="D48" s="196"/>
      <c r="E48" s="27"/>
    </row>
    <row r="49" spans="1:5" ht="14.25" customHeight="1">
      <c r="A49" s="212" t="s">
        <v>25</v>
      </c>
      <c r="B49" s="196"/>
      <c r="C49" s="196"/>
      <c r="D49" s="196"/>
      <c r="E49" s="196"/>
    </row>
    <row r="50" spans="1:5" ht="35.25" customHeight="1">
      <c r="A50" s="212"/>
      <c r="B50" s="196"/>
      <c r="C50" s="196"/>
      <c r="D50" s="196"/>
      <c r="E50" s="196"/>
    </row>
    <row r="51" spans="1:5" ht="15.75" customHeight="1">
      <c r="A51" s="212" t="s">
        <v>26</v>
      </c>
      <c r="B51" s="196"/>
      <c r="C51" s="196"/>
      <c r="D51" s="196"/>
      <c r="E51" s="196"/>
    </row>
    <row r="52" spans="1:5" ht="15.75" customHeight="1">
      <c r="A52" s="212" t="s">
        <v>27</v>
      </c>
      <c r="B52" s="196"/>
      <c r="C52" s="196"/>
      <c r="D52" s="196"/>
      <c r="E52" s="196"/>
    </row>
    <row r="53" spans="1:5" ht="15.75" customHeight="1">
      <c r="A53" s="212" t="s">
        <v>28</v>
      </c>
      <c r="B53" s="196"/>
      <c r="C53" s="196"/>
      <c r="D53" s="196"/>
      <c r="E53" s="196"/>
    </row>
  </sheetData>
  <mergeCells count="19">
    <mergeCell ref="A52:E52"/>
    <mergeCell ref="A53:E53"/>
    <mergeCell ref="A8:E8"/>
    <mergeCell ref="A9:E9"/>
    <mergeCell ref="A10:E10"/>
    <mergeCell ref="B45:D45"/>
    <mergeCell ref="A46:D46"/>
    <mergeCell ref="A47:E47"/>
    <mergeCell ref="A48:D48"/>
    <mergeCell ref="A6:E6"/>
    <mergeCell ref="A7:E7"/>
    <mergeCell ref="A49:E49"/>
    <mergeCell ref="A50:E50"/>
    <mergeCell ref="A51:E51"/>
    <mergeCell ref="A1:E1"/>
    <mergeCell ref="A2:E2"/>
    <mergeCell ref="A3:E3"/>
    <mergeCell ref="A4:E4"/>
    <mergeCell ref="A5:E5"/>
  </mergeCells>
  <conditionalFormatting sqref="E12:E44">
    <cfRule type="notContainsBlanks" dxfId="5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  <pageSetUpPr fitToPage="1"/>
  </sheetPr>
  <dimension ref="A1:E46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57.6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7" t="s">
        <v>2475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2904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77" t="s">
        <v>1209</v>
      </c>
      <c r="B12" s="12" t="s">
        <v>2836</v>
      </c>
      <c r="C12" s="13" t="s">
        <v>2694</v>
      </c>
      <c r="D12" s="171" t="s">
        <v>2837</v>
      </c>
      <c r="E12" s="134">
        <v>24614.07</v>
      </c>
    </row>
    <row r="13" spans="1:5" ht="15.75" customHeight="1">
      <c r="A13" s="177" t="s">
        <v>1212</v>
      </c>
      <c r="B13" s="12" t="s">
        <v>2841</v>
      </c>
      <c r="C13" s="13" t="s">
        <v>828</v>
      </c>
      <c r="D13" s="171" t="s">
        <v>2842</v>
      </c>
      <c r="E13" s="134">
        <v>9500</v>
      </c>
    </row>
    <row r="14" spans="1:5" ht="15.75" customHeight="1">
      <c r="A14" s="177" t="s">
        <v>1215</v>
      </c>
      <c r="B14" s="12" t="s">
        <v>2843</v>
      </c>
      <c r="C14" s="13" t="s">
        <v>2844</v>
      </c>
      <c r="D14" s="171" t="s">
        <v>1368</v>
      </c>
      <c r="E14" s="134">
        <v>90000</v>
      </c>
    </row>
    <row r="15" spans="1:5" ht="15.75" customHeight="1">
      <c r="A15" s="177" t="s">
        <v>1217</v>
      </c>
      <c r="B15" s="149" t="s">
        <v>2847</v>
      </c>
      <c r="C15" s="13" t="s">
        <v>2516</v>
      </c>
      <c r="D15" s="156" t="s">
        <v>2848</v>
      </c>
      <c r="E15" s="134">
        <v>215200</v>
      </c>
    </row>
    <row r="16" spans="1:5" ht="15.75" customHeight="1">
      <c r="A16" s="177" t="s">
        <v>1221</v>
      </c>
      <c r="B16" s="149" t="s">
        <v>2849</v>
      </c>
      <c r="C16" s="13" t="s">
        <v>2516</v>
      </c>
      <c r="D16" s="156" t="s">
        <v>2850</v>
      </c>
      <c r="E16" s="134">
        <v>272000</v>
      </c>
    </row>
    <row r="17" spans="1:5" ht="15.75" customHeight="1">
      <c r="A17" s="177" t="s">
        <v>1224</v>
      </c>
      <c r="B17" s="149" t="s">
        <v>2851</v>
      </c>
      <c r="C17" s="13" t="s">
        <v>2516</v>
      </c>
      <c r="D17" s="156" t="s">
        <v>2852</v>
      </c>
      <c r="E17" s="134">
        <v>2736353.24</v>
      </c>
    </row>
    <row r="18" spans="1:5" ht="15.75" customHeight="1">
      <c r="A18" s="177" t="s">
        <v>1226</v>
      </c>
      <c r="B18" s="12" t="s">
        <v>2855</v>
      </c>
      <c r="C18" s="13" t="s">
        <v>71</v>
      </c>
      <c r="D18" s="171" t="s">
        <v>2856</v>
      </c>
      <c r="E18" s="134">
        <v>19270</v>
      </c>
    </row>
    <row r="19" spans="1:5" ht="15.75" customHeight="1">
      <c r="A19" s="177" t="s">
        <v>1228</v>
      </c>
      <c r="B19" s="149" t="s">
        <v>2857</v>
      </c>
      <c r="C19" s="13" t="s">
        <v>2671</v>
      </c>
      <c r="D19" s="156" t="s">
        <v>2858</v>
      </c>
      <c r="E19" s="134">
        <v>15840</v>
      </c>
    </row>
    <row r="20" spans="1:5" ht="15.75" customHeight="1">
      <c r="A20" s="177" t="s">
        <v>1230</v>
      </c>
      <c r="B20" s="149" t="s">
        <v>2859</v>
      </c>
      <c r="C20" s="13" t="s">
        <v>2671</v>
      </c>
      <c r="D20" s="156" t="s">
        <v>2860</v>
      </c>
      <c r="E20" s="14">
        <v>18720</v>
      </c>
    </row>
    <row r="21" spans="1:5" ht="15.75" customHeight="1">
      <c r="A21" s="177" t="s">
        <v>1232</v>
      </c>
      <c r="B21" s="12" t="s">
        <v>2861</v>
      </c>
      <c r="C21" s="13" t="s">
        <v>1728</v>
      </c>
      <c r="D21" s="156" t="s">
        <v>2862</v>
      </c>
      <c r="E21" s="134">
        <v>9692</v>
      </c>
    </row>
    <row r="22" spans="1:5" ht="15.75" customHeight="1">
      <c r="A22" s="177" t="s">
        <v>1234</v>
      </c>
      <c r="B22" s="12" t="s">
        <v>2863</v>
      </c>
      <c r="C22" s="13" t="s">
        <v>2831</v>
      </c>
      <c r="D22" s="156" t="s">
        <v>2864</v>
      </c>
      <c r="E22" s="134">
        <v>14600</v>
      </c>
    </row>
    <row r="23" spans="1:5" ht="15.75" customHeight="1">
      <c r="A23" s="177" t="s">
        <v>1236</v>
      </c>
      <c r="B23" s="12" t="s">
        <v>2865</v>
      </c>
      <c r="C23" s="13" t="s">
        <v>378</v>
      </c>
      <c r="D23" s="156" t="s">
        <v>2866</v>
      </c>
      <c r="E23" s="134">
        <v>3478.28</v>
      </c>
    </row>
    <row r="24" spans="1:5" ht="15.75" customHeight="1">
      <c r="A24" s="177" t="s">
        <v>1240</v>
      </c>
      <c r="B24" s="12" t="s">
        <v>2867</v>
      </c>
      <c r="C24" s="13" t="s">
        <v>2051</v>
      </c>
      <c r="D24" s="156" t="s">
        <v>2868</v>
      </c>
      <c r="E24" s="134">
        <v>13379</v>
      </c>
    </row>
    <row r="25" spans="1:5" ht="15.75" customHeight="1">
      <c r="A25" s="177" t="s">
        <v>1242</v>
      </c>
      <c r="B25" s="12" t="s">
        <v>2869</v>
      </c>
      <c r="C25" s="13" t="s">
        <v>403</v>
      </c>
      <c r="D25" s="156" t="s">
        <v>2870</v>
      </c>
      <c r="E25" s="134">
        <v>9600</v>
      </c>
    </row>
    <row r="26" spans="1:5" ht="15.75" customHeight="1">
      <c r="A26" s="177" t="s">
        <v>1245</v>
      </c>
      <c r="B26" s="12" t="s">
        <v>2871</v>
      </c>
      <c r="C26" s="13" t="s">
        <v>45</v>
      </c>
      <c r="D26" s="156" t="s">
        <v>2872</v>
      </c>
      <c r="E26" s="134">
        <v>2745</v>
      </c>
    </row>
    <row r="27" spans="1:5" ht="15.75" customHeight="1">
      <c r="A27" s="177" t="s">
        <v>1247</v>
      </c>
      <c r="B27" s="12" t="s">
        <v>2875</v>
      </c>
      <c r="C27" s="13" t="s">
        <v>2831</v>
      </c>
      <c r="D27" s="156" t="s">
        <v>2876</v>
      </c>
      <c r="E27" s="134">
        <v>8300</v>
      </c>
    </row>
    <row r="28" spans="1:5" ht="15.75" customHeight="1">
      <c r="A28" s="177" t="s">
        <v>1249</v>
      </c>
      <c r="B28" s="149" t="s">
        <v>2877</v>
      </c>
      <c r="C28" s="13" t="s">
        <v>81</v>
      </c>
      <c r="D28" s="156" t="s">
        <v>2878</v>
      </c>
      <c r="E28" s="134">
        <v>19300</v>
      </c>
    </row>
    <row r="29" spans="1:5" ht="15.75" customHeight="1">
      <c r="A29" s="177" t="s">
        <v>1252</v>
      </c>
      <c r="B29" s="149" t="s">
        <v>2879</v>
      </c>
      <c r="C29" s="13" t="s">
        <v>56</v>
      </c>
      <c r="D29" s="156" t="s">
        <v>2880</v>
      </c>
      <c r="E29" s="134">
        <v>3728</v>
      </c>
    </row>
    <row r="30" spans="1:5" ht="15.75" customHeight="1">
      <c r="A30" s="177" t="s">
        <v>1255</v>
      </c>
      <c r="B30" s="149" t="s">
        <v>2881</v>
      </c>
      <c r="C30" s="13" t="s">
        <v>56</v>
      </c>
      <c r="D30" s="156" t="s">
        <v>2623</v>
      </c>
      <c r="E30" s="134">
        <v>23994</v>
      </c>
    </row>
    <row r="31" spans="1:5" ht="15.75" customHeight="1">
      <c r="A31" s="177" t="s">
        <v>1257</v>
      </c>
      <c r="B31" s="149" t="s">
        <v>2882</v>
      </c>
      <c r="C31" s="13" t="s">
        <v>1899</v>
      </c>
      <c r="D31" s="156" t="s">
        <v>2883</v>
      </c>
      <c r="E31" s="134">
        <v>13000</v>
      </c>
    </row>
    <row r="32" spans="1:5" ht="15.75" customHeight="1">
      <c r="A32" s="177" t="s">
        <v>1259</v>
      </c>
      <c r="B32" s="149" t="s">
        <v>2884</v>
      </c>
      <c r="C32" s="13" t="s">
        <v>2885</v>
      </c>
      <c r="D32" s="156" t="s">
        <v>2886</v>
      </c>
      <c r="E32" s="134">
        <v>28000</v>
      </c>
    </row>
    <row r="33" spans="1:5" ht="15.75" customHeight="1">
      <c r="A33" s="177" t="s">
        <v>1263</v>
      </c>
      <c r="B33" s="12" t="s">
        <v>2887</v>
      </c>
      <c r="C33" s="13" t="s">
        <v>634</v>
      </c>
      <c r="D33" s="156" t="s">
        <v>2888</v>
      </c>
      <c r="E33" s="134">
        <v>31996.84</v>
      </c>
    </row>
    <row r="34" spans="1:5" ht="15.75" customHeight="1">
      <c r="A34" s="177" t="s">
        <v>1267</v>
      </c>
      <c r="B34" s="149" t="s">
        <v>2889</v>
      </c>
      <c r="C34" s="13" t="s">
        <v>1336</v>
      </c>
      <c r="D34" s="156" t="s">
        <v>2890</v>
      </c>
      <c r="E34" s="134">
        <v>27255.599999999999</v>
      </c>
    </row>
    <row r="35" spans="1:5" ht="15.75" customHeight="1">
      <c r="A35" s="177" t="s">
        <v>1270</v>
      </c>
      <c r="B35" s="12" t="s">
        <v>2894</v>
      </c>
      <c r="C35" s="13" t="s">
        <v>1177</v>
      </c>
      <c r="D35" s="171" t="s">
        <v>2768</v>
      </c>
      <c r="E35" s="134">
        <v>17000</v>
      </c>
    </row>
    <row r="36" spans="1:5" ht="15.75" customHeight="1">
      <c r="A36" s="177" t="s">
        <v>1273</v>
      </c>
      <c r="B36" s="12" t="s">
        <v>2895</v>
      </c>
      <c r="C36" s="13" t="s">
        <v>2831</v>
      </c>
      <c r="D36" s="171" t="s">
        <v>2896</v>
      </c>
      <c r="E36" s="134">
        <v>8300</v>
      </c>
    </row>
    <row r="37" spans="1:5" ht="15.75" customHeight="1">
      <c r="A37" s="177" t="s">
        <v>1275</v>
      </c>
      <c r="B37" s="12" t="s">
        <v>2901</v>
      </c>
      <c r="C37" s="13" t="s">
        <v>638</v>
      </c>
      <c r="D37" s="171" t="s">
        <v>2902</v>
      </c>
      <c r="E37" s="134">
        <v>8500</v>
      </c>
    </row>
    <row r="38" spans="1:5" ht="15.75" customHeight="1">
      <c r="A38" s="108" t="s">
        <v>24</v>
      </c>
      <c r="B38" s="216"/>
      <c r="C38" s="204"/>
      <c r="D38" s="205"/>
      <c r="E38" s="49">
        <f>SUM(E13:E37)</f>
        <v>3619751.96</v>
      </c>
    </row>
    <row r="39" spans="1:5" ht="15.75" customHeight="1">
      <c r="A39" s="217" t="s">
        <v>2903</v>
      </c>
      <c r="B39" s="204"/>
      <c r="C39" s="204"/>
      <c r="D39" s="205"/>
      <c r="E39" s="192">
        <f>E38*8%</f>
        <v>289580.1568</v>
      </c>
    </row>
    <row r="40" spans="1:5" ht="15.75" customHeight="1">
      <c r="A40" s="211"/>
      <c r="B40" s="196"/>
      <c r="C40" s="196"/>
      <c r="D40" s="196"/>
      <c r="E40" s="196"/>
    </row>
    <row r="41" spans="1:5" ht="15.75" customHeight="1">
      <c r="A41" s="211"/>
      <c r="B41" s="196"/>
      <c r="C41" s="196"/>
      <c r="D41" s="196"/>
      <c r="E41" s="27"/>
    </row>
    <row r="42" spans="1:5" ht="14.25" customHeight="1">
      <c r="A42" s="211" t="s">
        <v>25</v>
      </c>
      <c r="B42" s="196"/>
      <c r="C42" s="196"/>
      <c r="D42" s="196"/>
      <c r="E42" s="196"/>
    </row>
    <row r="43" spans="1:5" ht="35.25" customHeight="1">
      <c r="A43" s="211"/>
      <c r="B43" s="196"/>
      <c r="C43" s="196"/>
      <c r="D43" s="196"/>
      <c r="E43" s="196"/>
    </row>
    <row r="44" spans="1:5" ht="15.75" customHeight="1">
      <c r="A44" s="211" t="s">
        <v>26</v>
      </c>
      <c r="B44" s="196"/>
      <c r="C44" s="196"/>
      <c r="D44" s="196"/>
      <c r="E44" s="196"/>
    </row>
    <row r="45" spans="1:5" ht="15.75" customHeight="1">
      <c r="A45" s="211" t="s">
        <v>27</v>
      </c>
      <c r="B45" s="196"/>
      <c r="C45" s="196"/>
      <c r="D45" s="196"/>
      <c r="E45" s="196"/>
    </row>
    <row r="46" spans="1:5" ht="15.75" customHeight="1">
      <c r="A46" s="211" t="s">
        <v>28</v>
      </c>
      <c r="B46" s="196"/>
      <c r="C46" s="196"/>
      <c r="D46" s="196"/>
      <c r="E46" s="196"/>
    </row>
  </sheetData>
  <mergeCells count="19">
    <mergeCell ref="A45:E45"/>
    <mergeCell ref="A46:E46"/>
    <mergeCell ref="A8:E8"/>
    <mergeCell ref="A9:E9"/>
    <mergeCell ref="A10:E10"/>
    <mergeCell ref="B38:D38"/>
    <mergeCell ref="A39:D39"/>
    <mergeCell ref="A40:E40"/>
    <mergeCell ref="A41:D41"/>
    <mergeCell ref="A6:E6"/>
    <mergeCell ref="A7:E7"/>
    <mergeCell ref="A42:E42"/>
    <mergeCell ref="A43:E43"/>
    <mergeCell ref="A44:E44"/>
    <mergeCell ref="A1:E1"/>
    <mergeCell ref="A2:E2"/>
    <mergeCell ref="A3:E3"/>
    <mergeCell ref="A4:E4"/>
    <mergeCell ref="A5:E5"/>
  </mergeCells>
  <conditionalFormatting sqref="E12:E37">
    <cfRule type="notContainsBlanks" dxfId="4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 summaryRight="0"/>
    <pageSetUpPr fitToPage="1"/>
  </sheetPr>
  <dimension ref="A1:E73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57.6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7" t="s">
        <v>2475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2905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93" t="s">
        <v>1209</v>
      </c>
      <c r="B12" s="149" t="s">
        <v>2906</v>
      </c>
      <c r="C12" s="13" t="s">
        <v>1992</v>
      </c>
      <c r="D12" s="156" t="s">
        <v>2907</v>
      </c>
      <c r="E12" s="134">
        <v>23762.55</v>
      </c>
    </row>
    <row r="13" spans="1:5" ht="15.75" customHeight="1">
      <c r="A13" s="193" t="s">
        <v>1212</v>
      </c>
      <c r="B13" s="149" t="s">
        <v>2908</v>
      </c>
      <c r="C13" s="13" t="s">
        <v>2909</v>
      </c>
      <c r="D13" s="156" t="s">
        <v>2910</v>
      </c>
      <c r="E13" s="134">
        <v>33350</v>
      </c>
    </row>
    <row r="14" spans="1:5" ht="15.75" customHeight="1">
      <c r="A14" s="193" t="s">
        <v>1215</v>
      </c>
      <c r="B14" s="149" t="s">
        <v>2911</v>
      </c>
      <c r="C14" s="13" t="s">
        <v>1203</v>
      </c>
      <c r="D14" s="100" t="s">
        <v>2912</v>
      </c>
      <c r="E14" s="134">
        <v>28750</v>
      </c>
    </row>
    <row r="15" spans="1:5" ht="15.75" customHeight="1">
      <c r="A15" s="193" t="s">
        <v>1217</v>
      </c>
      <c r="B15" s="12" t="s">
        <v>2526</v>
      </c>
      <c r="C15" s="13" t="s">
        <v>638</v>
      </c>
      <c r="D15" s="171" t="s">
        <v>2913</v>
      </c>
      <c r="E15" s="134">
        <v>37500</v>
      </c>
    </row>
    <row r="16" spans="1:5" ht="15.75" customHeight="1">
      <c r="A16" s="193" t="s">
        <v>1221</v>
      </c>
      <c r="B16" s="12" t="s">
        <v>2914</v>
      </c>
      <c r="C16" s="13" t="s">
        <v>638</v>
      </c>
      <c r="D16" s="171" t="s">
        <v>2915</v>
      </c>
      <c r="E16" s="134">
        <v>56500</v>
      </c>
    </row>
    <row r="17" spans="1:5" ht="15.75" customHeight="1">
      <c r="A17" s="193" t="s">
        <v>1224</v>
      </c>
      <c r="B17" s="149" t="s">
        <v>2916</v>
      </c>
      <c r="C17" s="13" t="s">
        <v>783</v>
      </c>
      <c r="D17" s="172" t="s">
        <v>2917</v>
      </c>
      <c r="E17" s="134">
        <v>4625</v>
      </c>
    </row>
    <row r="18" spans="1:5" ht="15.75" customHeight="1">
      <c r="A18" s="193" t="s">
        <v>1226</v>
      </c>
      <c r="B18" s="149" t="s">
        <v>2167</v>
      </c>
      <c r="C18" s="13" t="s">
        <v>2051</v>
      </c>
      <c r="D18" s="156" t="s">
        <v>2918</v>
      </c>
      <c r="E18" s="134">
        <v>2172</v>
      </c>
    </row>
    <row r="19" spans="1:5" ht="15.75" customHeight="1">
      <c r="A19" s="193" t="s">
        <v>1228</v>
      </c>
      <c r="B19" s="149" t="s">
        <v>2796</v>
      </c>
      <c r="C19" s="13" t="s">
        <v>2919</v>
      </c>
      <c r="D19" s="171" t="s">
        <v>2920</v>
      </c>
      <c r="E19" s="134">
        <v>10580</v>
      </c>
    </row>
    <row r="20" spans="1:5" ht="15.75" customHeight="1">
      <c r="A20" s="193" t="s">
        <v>1230</v>
      </c>
      <c r="B20" s="149" t="s">
        <v>2921</v>
      </c>
      <c r="C20" s="13" t="s">
        <v>2051</v>
      </c>
      <c r="D20" s="156" t="s">
        <v>2922</v>
      </c>
      <c r="E20" s="134">
        <v>274350</v>
      </c>
    </row>
    <row r="21" spans="1:5" ht="15.75" customHeight="1">
      <c r="A21" s="193" t="s">
        <v>1232</v>
      </c>
      <c r="B21" s="149" t="s">
        <v>2923</v>
      </c>
      <c r="C21" s="100" t="s">
        <v>378</v>
      </c>
      <c r="D21" s="156" t="s">
        <v>2924</v>
      </c>
      <c r="E21" s="134">
        <v>31712.7</v>
      </c>
    </row>
    <row r="22" spans="1:5" ht="15.75" customHeight="1">
      <c r="A22" s="193" t="s">
        <v>1234</v>
      </c>
      <c r="B22" s="12" t="s">
        <v>2925</v>
      </c>
      <c r="C22" s="13" t="s">
        <v>783</v>
      </c>
      <c r="D22" s="171" t="s">
        <v>774</v>
      </c>
      <c r="E22" s="134">
        <v>62100</v>
      </c>
    </row>
    <row r="23" spans="1:5" ht="15.75" customHeight="1">
      <c r="A23" s="193" t="s">
        <v>1236</v>
      </c>
      <c r="B23" s="149" t="s">
        <v>2574</v>
      </c>
      <c r="C23" s="13" t="s">
        <v>2575</v>
      </c>
      <c r="D23" s="156" t="s">
        <v>2926</v>
      </c>
      <c r="E23" s="134">
        <v>206400</v>
      </c>
    </row>
    <row r="24" spans="1:5" ht="15.75" customHeight="1">
      <c r="A24" s="193" t="s">
        <v>1240</v>
      </c>
      <c r="B24" s="149" t="s">
        <v>2574</v>
      </c>
      <c r="C24" s="13" t="s">
        <v>2575</v>
      </c>
      <c r="D24" s="156" t="s">
        <v>2451</v>
      </c>
      <c r="E24" s="134">
        <v>619200</v>
      </c>
    </row>
    <row r="25" spans="1:5" ht="15.75" customHeight="1">
      <c r="A25" s="193" t="s">
        <v>1242</v>
      </c>
      <c r="B25" s="149" t="s">
        <v>2927</v>
      </c>
      <c r="C25" s="13" t="s">
        <v>2642</v>
      </c>
      <c r="D25" s="156" t="s">
        <v>2928</v>
      </c>
      <c r="E25" s="134">
        <v>6315</v>
      </c>
    </row>
    <row r="26" spans="1:5" ht="15.75" customHeight="1">
      <c r="A26" s="193" t="s">
        <v>1245</v>
      </c>
      <c r="B26" s="149" t="s">
        <v>2929</v>
      </c>
      <c r="C26" s="13" t="s">
        <v>2831</v>
      </c>
      <c r="D26" s="156" t="s">
        <v>2930</v>
      </c>
      <c r="E26" s="134">
        <v>85200</v>
      </c>
    </row>
    <row r="27" spans="1:5" ht="15.75" customHeight="1">
      <c r="A27" s="193" t="s">
        <v>1247</v>
      </c>
      <c r="B27" s="12" t="s">
        <v>2931</v>
      </c>
      <c r="C27" s="13" t="s">
        <v>2642</v>
      </c>
      <c r="D27" s="156" t="s">
        <v>2932</v>
      </c>
      <c r="E27" s="134">
        <v>5031</v>
      </c>
    </row>
    <row r="28" spans="1:5" ht="15.75" customHeight="1">
      <c r="A28" s="193" t="s">
        <v>1249</v>
      </c>
      <c r="B28" s="149" t="s">
        <v>2933</v>
      </c>
      <c r="C28" s="13" t="s">
        <v>2934</v>
      </c>
      <c r="D28" s="156" t="s">
        <v>2935</v>
      </c>
      <c r="E28" s="134">
        <v>1233936</v>
      </c>
    </row>
    <row r="29" spans="1:5" ht="15.75" customHeight="1">
      <c r="A29" s="193" t="s">
        <v>1252</v>
      </c>
      <c r="B29" s="149" t="s">
        <v>2936</v>
      </c>
      <c r="C29" s="13" t="s">
        <v>2937</v>
      </c>
      <c r="D29" s="156" t="s">
        <v>2938</v>
      </c>
      <c r="E29" s="134">
        <v>13008.14</v>
      </c>
    </row>
    <row r="30" spans="1:5" ht="15.75" customHeight="1">
      <c r="A30" s="193" t="s">
        <v>1255</v>
      </c>
      <c r="B30" s="12" t="s">
        <v>2939</v>
      </c>
      <c r="C30" s="13" t="s">
        <v>2940</v>
      </c>
      <c r="D30" s="156" t="s">
        <v>2941</v>
      </c>
      <c r="E30" s="134">
        <v>5000</v>
      </c>
    </row>
    <row r="31" spans="1:5" ht="15.75" customHeight="1">
      <c r="A31" s="193" t="s">
        <v>1257</v>
      </c>
      <c r="B31" s="12" t="s">
        <v>2942</v>
      </c>
      <c r="C31" s="13" t="s">
        <v>2943</v>
      </c>
      <c r="D31" s="171" t="s">
        <v>2944</v>
      </c>
      <c r="E31" s="134">
        <v>342900</v>
      </c>
    </row>
    <row r="32" spans="1:5" ht="15.75" customHeight="1">
      <c r="A32" s="193" t="s">
        <v>1259</v>
      </c>
      <c r="B32" s="12" t="s">
        <v>2945</v>
      </c>
      <c r="C32" s="13" t="s">
        <v>2051</v>
      </c>
      <c r="D32" s="171" t="s">
        <v>2946</v>
      </c>
      <c r="E32" s="134">
        <v>3401</v>
      </c>
    </row>
    <row r="33" spans="1:5" ht="15.75" customHeight="1">
      <c r="A33" s="193" t="s">
        <v>1263</v>
      </c>
      <c r="B33" s="149" t="s">
        <v>2947</v>
      </c>
      <c r="C33" s="13" t="s">
        <v>2948</v>
      </c>
      <c r="D33" s="100">
        <v>3288</v>
      </c>
      <c r="E33" s="134">
        <v>32900</v>
      </c>
    </row>
    <row r="34" spans="1:5" ht="15.75" customHeight="1">
      <c r="A34" s="193" t="s">
        <v>1267</v>
      </c>
      <c r="B34" s="149" t="s">
        <v>604</v>
      </c>
      <c r="C34" s="13" t="s">
        <v>2949</v>
      </c>
      <c r="D34" s="156" t="s">
        <v>2950</v>
      </c>
      <c r="E34" s="134">
        <v>618840</v>
      </c>
    </row>
    <row r="35" spans="1:5" ht="15.75" customHeight="1">
      <c r="A35" s="193" t="s">
        <v>1270</v>
      </c>
      <c r="B35" s="12" t="s">
        <v>2951</v>
      </c>
      <c r="C35" s="13" t="s">
        <v>2952</v>
      </c>
      <c r="D35" s="171" t="s">
        <v>1368</v>
      </c>
      <c r="E35" s="134">
        <v>11400</v>
      </c>
    </row>
    <row r="36" spans="1:5" ht="15.75" customHeight="1">
      <c r="A36" s="193" t="s">
        <v>1273</v>
      </c>
      <c r="B36" s="149" t="s">
        <v>2953</v>
      </c>
      <c r="C36" s="13" t="s">
        <v>634</v>
      </c>
      <c r="D36" s="156" t="s">
        <v>2595</v>
      </c>
      <c r="E36" s="134">
        <v>15480</v>
      </c>
    </row>
    <row r="37" spans="1:5" ht="15.75" customHeight="1">
      <c r="A37" s="108" t="s">
        <v>24</v>
      </c>
      <c r="B37" s="216"/>
      <c r="C37" s="204"/>
      <c r="D37" s="205"/>
      <c r="E37" s="49">
        <f>SUM(E12:E36)</f>
        <v>3764413.39</v>
      </c>
    </row>
    <row r="38" spans="1:5" ht="15.75" customHeight="1">
      <c r="A38" s="217" t="s">
        <v>2954</v>
      </c>
      <c r="B38" s="204"/>
      <c r="C38" s="204"/>
      <c r="D38" s="205"/>
      <c r="E38" s="192">
        <f>IF(E37&gt;=10000000,5000000*2%+5000000*1%+(E37-10000000)*1%,IF(E37&gt;=5000000,5000000*2%+(E37-5000000)*1%,E37*2%))</f>
        <v>75288.267800000001</v>
      </c>
    </row>
    <row r="39" spans="1:5" ht="15.75" customHeight="1">
      <c r="A39" s="211"/>
      <c r="B39" s="196"/>
      <c r="C39" s="196"/>
      <c r="D39" s="196"/>
      <c r="E39" s="196"/>
    </row>
    <row r="40" spans="1:5" ht="15.75" customHeight="1">
      <c r="A40" s="211"/>
      <c r="B40" s="196"/>
      <c r="C40" s="196"/>
      <c r="D40" s="196"/>
      <c r="E40" s="27"/>
    </row>
    <row r="41" spans="1:5" ht="15.75" customHeight="1">
      <c r="A41" s="211" t="s">
        <v>25</v>
      </c>
      <c r="B41" s="196"/>
      <c r="C41" s="196"/>
      <c r="D41" s="196"/>
      <c r="E41" s="196"/>
    </row>
    <row r="42" spans="1:5" ht="15.75" customHeight="1">
      <c r="A42" s="211"/>
      <c r="B42" s="196"/>
      <c r="C42" s="196"/>
      <c r="D42" s="196"/>
      <c r="E42" s="196"/>
    </row>
    <row r="43" spans="1:5" ht="15.75" customHeight="1">
      <c r="A43" s="211" t="s">
        <v>26</v>
      </c>
      <c r="B43" s="196"/>
      <c r="C43" s="196"/>
      <c r="D43" s="196"/>
      <c r="E43" s="196"/>
    </row>
    <row r="44" spans="1:5" ht="15.75" customHeight="1">
      <c r="A44" s="211" t="s">
        <v>27</v>
      </c>
      <c r="B44" s="196"/>
      <c r="C44" s="196"/>
      <c r="D44" s="196"/>
      <c r="E44" s="196"/>
    </row>
    <row r="45" spans="1:5" ht="15.75" customHeight="1">
      <c r="A45" s="211" t="s">
        <v>28</v>
      </c>
      <c r="B45" s="196"/>
      <c r="C45" s="196"/>
      <c r="D45" s="196"/>
      <c r="E45" s="196"/>
    </row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4.25" customHeight="1"/>
    <row r="70" ht="35.25" customHeight="1"/>
    <row r="71" ht="15.75" customHeight="1"/>
    <row r="72" ht="15.75" customHeight="1"/>
    <row r="73" ht="15.75" customHeight="1"/>
  </sheetData>
  <mergeCells count="19">
    <mergeCell ref="A44:E44"/>
    <mergeCell ref="A45:E45"/>
    <mergeCell ref="A8:E8"/>
    <mergeCell ref="A9:E9"/>
    <mergeCell ref="A10:E10"/>
    <mergeCell ref="B37:D37"/>
    <mergeCell ref="A38:D38"/>
    <mergeCell ref="A39:E39"/>
    <mergeCell ref="A40:D40"/>
    <mergeCell ref="A6:E6"/>
    <mergeCell ref="A7:E7"/>
    <mergeCell ref="A41:E41"/>
    <mergeCell ref="A42:E42"/>
    <mergeCell ref="A43:E43"/>
    <mergeCell ref="A1:E1"/>
    <mergeCell ref="A2:E2"/>
    <mergeCell ref="A3:E3"/>
    <mergeCell ref="A4:E4"/>
    <mergeCell ref="A5:E5"/>
  </mergeCells>
  <conditionalFormatting sqref="E12:E36">
    <cfRule type="notContainsBlanks" dxfId="3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  <pageSetUpPr fitToPage="1"/>
  </sheetPr>
  <dimension ref="A1:E73"/>
  <sheetViews>
    <sheetView workbookViewId="0"/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57.6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7" t="s">
        <v>2475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2955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93" t="s">
        <v>1209</v>
      </c>
      <c r="B12" s="149" t="s">
        <v>2906</v>
      </c>
      <c r="C12" s="13" t="s">
        <v>1992</v>
      </c>
      <c r="D12" s="156" t="s">
        <v>2907</v>
      </c>
      <c r="E12" s="134">
        <v>23762.55</v>
      </c>
    </row>
    <row r="13" spans="1:5" ht="15.75" customHeight="1">
      <c r="A13" s="193" t="s">
        <v>1212</v>
      </c>
      <c r="B13" s="149" t="s">
        <v>2908</v>
      </c>
      <c r="C13" s="13" t="s">
        <v>2909</v>
      </c>
      <c r="D13" s="156" t="s">
        <v>2910</v>
      </c>
      <c r="E13" s="134">
        <v>33350</v>
      </c>
    </row>
    <row r="14" spans="1:5" ht="15.75" customHeight="1">
      <c r="A14" s="193" t="s">
        <v>1215</v>
      </c>
      <c r="B14" s="149" t="s">
        <v>2911</v>
      </c>
      <c r="C14" s="13" t="s">
        <v>1203</v>
      </c>
      <c r="D14" s="100" t="s">
        <v>2912</v>
      </c>
      <c r="E14" s="134">
        <v>28750</v>
      </c>
    </row>
    <row r="15" spans="1:5" ht="15.75" customHeight="1">
      <c r="A15" s="193" t="s">
        <v>1217</v>
      </c>
      <c r="B15" s="12" t="s">
        <v>2526</v>
      </c>
      <c r="C15" s="13" t="s">
        <v>638</v>
      </c>
      <c r="D15" s="171" t="s">
        <v>2913</v>
      </c>
      <c r="E15" s="134">
        <v>37500</v>
      </c>
    </row>
    <row r="16" spans="1:5" ht="15.75" customHeight="1">
      <c r="A16" s="193" t="s">
        <v>1221</v>
      </c>
      <c r="B16" s="12" t="s">
        <v>2914</v>
      </c>
      <c r="C16" s="13" t="s">
        <v>638</v>
      </c>
      <c r="D16" s="171" t="s">
        <v>2915</v>
      </c>
      <c r="E16" s="134">
        <v>56500</v>
      </c>
    </row>
    <row r="17" spans="1:5" ht="15.75" customHeight="1">
      <c r="A17" s="193" t="s">
        <v>1224</v>
      </c>
      <c r="B17" s="149" t="s">
        <v>2916</v>
      </c>
      <c r="C17" s="13" t="s">
        <v>783</v>
      </c>
      <c r="D17" s="172" t="s">
        <v>2917</v>
      </c>
      <c r="E17" s="134">
        <v>4625</v>
      </c>
    </row>
    <row r="18" spans="1:5" ht="15.75" customHeight="1">
      <c r="A18" s="193" t="s">
        <v>1226</v>
      </c>
      <c r="B18" s="149" t="s">
        <v>2167</v>
      </c>
      <c r="C18" s="13" t="s">
        <v>2051</v>
      </c>
      <c r="D18" s="156" t="s">
        <v>2918</v>
      </c>
      <c r="E18" s="134">
        <v>2172</v>
      </c>
    </row>
    <row r="19" spans="1:5" ht="15.75" customHeight="1">
      <c r="A19" s="193" t="s">
        <v>1228</v>
      </c>
      <c r="B19" s="149" t="s">
        <v>2796</v>
      </c>
      <c r="C19" s="13" t="s">
        <v>2919</v>
      </c>
      <c r="D19" s="171" t="s">
        <v>2920</v>
      </c>
      <c r="E19" s="134">
        <v>10580</v>
      </c>
    </row>
    <row r="20" spans="1:5" ht="15.75" customHeight="1">
      <c r="A20" s="193" t="s">
        <v>1230</v>
      </c>
      <c r="B20" s="149" t="s">
        <v>2921</v>
      </c>
      <c r="C20" s="13" t="s">
        <v>2051</v>
      </c>
      <c r="D20" s="156" t="s">
        <v>2922</v>
      </c>
      <c r="E20" s="134">
        <v>274350</v>
      </c>
    </row>
    <row r="21" spans="1:5" ht="15.75" customHeight="1">
      <c r="A21" s="193" t="s">
        <v>1232</v>
      </c>
      <c r="B21" s="149" t="s">
        <v>2923</v>
      </c>
      <c r="C21" s="100" t="s">
        <v>378</v>
      </c>
      <c r="D21" s="156" t="s">
        <v>2924</v>
      </c>
      <c r="E21" s="134">
        <v>31712.7</v>
      </c>
    </row>
    <row r="22" spans="1:5" ht="15.75" customHeight="1">
      <c r="A22" s="193" t="s">
        <v>1234</v>
      </c>
      <c r="B22" s="12" t="s">
        <v>2925</v>
      </c>
      <c r="C22" s="13" t="s">
        <v>783</v>
      </c>
      <c r="D22" s="171" t="s">
        <v>774</v>
      </c>
      <c r="E22" s="134">
        <v>62100</v>
      </c>
    </row>
    <row r="23" spans="1:5" ht="15.75" customHeight="1">
      <c r="A23" s="193" t="s">
        <v>1236</v>
      </c>
      <c r="B23" s="149" t="s">
        <v>2574</v>
      </c>
      <c r="C23" s="13" t="s">
        <v>2575</v>
      </c>
      <c r="D23" s="156" t="s">
        <v>2926</v>
      </c>
      <c r="E23" s="134">
        <v>206400</v>
      </c>
    </row>
    <row r="24" spans="1:5" ht="15.75" customHeight="1">
      <c r="A24" s="193" t="s">
        <v>1240</v>
      </c>
      <c r="B24" s="149" t="s">
        <v>2574</v>
      </c>
      <c r="C24" s="13" t="s">
        <v>2575</v>
      </c>
      <c r="D24" s="156" t="s">
        <v>2451</v>
      </c>
      <c r="E24" s="134">
        <v>619200</v>
      </c>
    </row>
    <row r="25" spans="1:5" ht="15.75" customHeight="1">
      <c r="A25" s="193" t="s">
        <v>1242</v>
      </c>
      <c r="B25" s="149" t="s">
        <v>2927</v>
      </c>
      <c r="C25" s="13" t="s">
        <v>2642</v>
      </c>
      <c r="D25" s="156" t="s">
        <v>2928</v>
      </c>
      <c r="E25" s="134">
        <v>6315</v>
      </c>
    </row>
    <row r="26" spans="1:5" ht="15.75" customHeight="1">
      <c r="A26" s="193" t="s">
        <v>1245</v>
      </c>
      <c r="B26" s="149" t="s">
        <v>2929</v>
      </c>
      <c r="C26" s="13" t="s">
        <v>2831</v>
      </c>
      <c r="D26" s="156" t="s">
        <v>2930</v>
      </c>
      <c r="E26" s="134">
        <v>85200</v>
      </c>
    </row>
    <row r="27" spans="1:5" ht="15.75" customHeight="1">
      <c r="A27" s="193" t="s">
        <v>1247</v>
      </c>
      <c r="B27" s="12" t="s">
        <v>2931</v>
      </c>
      <c r="C27" s="13" t="s">
        <v>2642</v>
      </c>
      <c r="D27" s="156" t="s">
        <v>2932</v>
      </c>
      <c r="E27" s="134">
        <v>5031</v>
      </c>
    </row>
    <row r="28" spans="1:5" ht="15.75" customHeight="1">
      <c r="A28" s="193" t="s">
        <v>1249</v>
      </c>
      <c r="B28" s="149" t="s">
        <v>2933</v>
      </c>
      <c r="C28" s="13" t="s">
        <v>2934</v>
      </c>
      <c r="D28" s="156" t="s">
        <v>2935</v>
      </c>
      <c r="E28" s="134">
        <v>1233936</v>
      </c>
    </row>
    <row r="29" spans="1:5" ht="15.75" customHeight="1">
      <c r="A29" s="193" t="s">
        <v>1252</v>
      </c>
      <c r="B29" s="149" t="s">
        <v>2936</v>
      </c>
      <c r="C29" s="13" t="s">
        <v>2937</v>
      </c>
      <c r="D29" s="156" t="s">
        <v>2938</v>
      </c>
      <c r="E29" s="134">
        <v>13008.14</v>
      </c>
    </row>
    <row r="30" spans="1:5" ht="15.75" customHeight="1">
      <c r="A30" s="193" t="s">
        <v>1255</v>
      </c>
      <c r="B30" s="12" t="s">
        <v>2939</v>
      </c>
      <c r="C30" s="13" t="s">
        <v>2940</v>
      </c>
      <c r="D30" s="156" t="s">
        <v>2941</v>
      </c>
      <c r="E30" s="134">
        <v>5000</v>
      </c>
    </row>
    <row r="31" spans="1:5" ht="15.75" customHeight="1">
      <c r="A31" s="193" t="s">
        <v>1257</v>
      </c>
      <c r="B31" s="12" t="s">
        <v>2942</v>
      </c>
      <c r="C31" s="13" t="s">
        <v>2943</v>
      </c>
      <c r="D31" s="171" t="s">
        <v>2944</v>
      </c>
      <c r="E31" s="134">
        <v>342900</v>
      </c>
    </row>
    <row r="32" spans="1:5" ht="15.75" customHeight="1">
      <c r="A32" s="193" t="s">
        <v>1259</v>
      </c>
      <c r="B32" s="12" t="s">
        <v>2945</v>
      </c>
      <c r="C32" s="13" t="s">
        <v>2051</v>
      </c>
      <c r="D32" s="171" t="s">
        <v>2946</v>
      </c>
      <c r="E32" s="134">
        <v>3401</v>
      </c>
    </row>
    <row r="33" spans="1:5" ht="15.75" customHeight="1">
      <c r="A33" s="193" t="s">
        <v>1263</v>
      </c>
      <c r="B33" s="149" t="s">
        <v>2947</v>
      </c>
      <c r="C33" s="13" t="s">
        <v>2948</v>
      </c>
      <c r="D33" s="100">
        <v>3288</v>
      </c>
      <c r="E33" s="134">
        <v>32900</v>
      </c>
    </row>
    <row r="34" spans="1:5" ht="15.75" customHeight="1">
      <c r="A34" s="193" t="s">
        <v>1267</v>
      </c>
      <c r="B34" s="149" t="s">
        <v>604</v>
      </c>
      <c r="C34" s="13" t="s">
        <v>2949</v>
      </c>
      <c r="D34" s="156" t="s">
        <v>2950</v>
      </c>
      <c r="E34" s="134">
        <v>618840</v>
      </c>
    </row>
    <row r="35" spans="1:5" ht="15.75" customHeight="1">
      <c r="A35" s="193" t="s">
        <v>1270</v>
      </c>
      <c r="B35" s="12" t="s">
        <v>2951</v>
      </c>
      <c r="C35" s="13" t="s">
        <v>2952</v>
      </c>
      <c r="D35" s="171" t="s">
        <v>1368</v>
      </c>
      <c r="E35" s="134">
        <v>11400</v>
      </c>
    </row>
    <row r="36" spans="1:5" ht="15.75" customHeight="1">
      <c r="A36" s="193" t="s">
        <v>1273</v>
      </c>
      <c r="B36" s="149" t="s">
        <v>2953</v>
      </c>
      <c r="C36" s="13" t="s">
        <v>634</v>
      </c>
      <c r="D36" s="156" t="s">
        <v>2595</v>
      </c>
      <c r="E36" s="134">
        <v>15480</v>
      </c>
    </row>
    <row r="37" spans="1:5" ht="15.75" customHeight="1">
      <c r="A37" s="108" t="s">
        <v>24</v>
      </c>
      <c r="B37" s="216"/>
      <c r="C37" s="204"/>
      <c r="D37" s="205"/>
      <c r="E37" s="49">
        <f>SUM(E12:E36)</f>
        <v>3764413.39</v>
      </c>
    </row>
    <row r="38" spans="1:5" ht="15.75" customHeight="1">
      <c r="A38" s="217" t="s">
        <v>2954</v>
      </c>
      <c r="B38" s="204"/>
      <c r="C38" s="204"/>
      <c r="D38" s="205"/>
      <c r="E38" s="192">
        <f>E37*8%</f>
        <v>301153.07120000001</v>
      </c>
    </row>
    <row r="39" spans="1:5" ht="15.75" customHeight="1">
      <c r="A39" s="211"/>
      <c r="B39" s="196"/>
      <c r="C39" s="196"/>
      <c r="D39" s="196"/>
      <c r="E39" s="196"/>
    </row>
    <row r="40" spans="1:5" ht="15.75" customHeight="1">
      <c r="A40" s="211"/>
      <c r="B40" s="196"/>
      <c r="C40" s="196"/>
      <c r="D40" s="196"/>
      <c r="E40" s="27"/>
    </row>
    <row r="41" spans="1:5" ht="15.75" customHeight="1">
      <c r="A41" s="211" t="s">
        <v>25</v>
      </c>
      <c r="B41" s="196"/>
      <c r="C41" s="196"/>
      <c r="D41" s="196"/>
      <c r="E41" s="196"/>
    </row>
    <row r="42" spans="1:5" ht="15.75" customHeight="1">
      <c r="A42" s="211"/>
      <c r="B42" s="196"/>
      <c r="C42" s="196"/>
      <c r="D42" s="196"/>
      <c r="E42" s="196"/>
    </row>
    <row r="43" spans="1:5" ht="15.75" customHeight="1">
      <c r="A43" s="211" t="s">
        <v>26</v>
      </c>
      <c r="B43" s="196"/>
      <c r="C43" s="196"/>
      <c r="D43" s="196"/>
      <c r="E43" s="196"/>
    </row>
    <row r="44" spans="1:5" ht="15.75" customHeight="1">
      <c r="A44" s="211" t="s">
        <v>27</v>
      </c>
      <c r="B44" s="196"/>
      <c r="C44" s="196"/>
      <c r="D44" s="196"/>
      <c r="E44" s="196"/>
    </row>
    <row r="45" spans="1:5" ht="15.75" customHeight="1">
      <c r="A45" s="211" t="s">
        <v>28</v>
      </c>
      <c r="B45" s="196"/>
      <c r="C45" s="196"/>
      <c r="D45" s="196"/>
      <c r="E45" s="196"/>
    </row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4.25" customHeight="1"/>
    <row r="70" ht="35.25" customHeight="1"/>
    <row r="71" ht="15.75" customHeight="1"/>
    <row r="72" ht="15.75" customHeight="1"/>
    <row r="73" ht="15.75" customHeight="1"/>
  </sheetData>
  <mergeCells count="19">
    <mergeCell ref="A44:E44"/>
    <mergeCell ref="A45:E45"/>
    <mergeCell ref="A8:E8"/>
    <mergeCell ref="A9:E9"/>
    <mergeCell ref="A10:E10"/>
    <mergeCell ref="B37:D37"/>
    <mergeCell ref="A38:D38"/>
    <mergeCell ref="A39:E39"/>
    <mergeCell ref="A40:D40"/>
    <mergeCell ref="A6:E6"/>
    <mergeCell ref="A7:E7"/>
    <mergeCell ref="A41:E41"/>
    <mergeCell ref="A42:E42"/>
    <mergeCell ref="A43:E43"/>
    <mergeCell ref="A1:E1"/>
    <mergeCell ref="A2:E2"/>
    <mergeCell ref="A3:E3"/>
    <mergeCell ref="A4:E4"/>
    <mergeCell ref="A5:E5"/>
  </mergeCells>
  <conditionalFormatting sqref="E12:E36">
    <cfRule type="notContainsBlanks" dxfId="2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 summaryRight="0"/>
    <pageSetUpPr fitToPage="1"/>
  </sheetPr>
  <dimension ref="A1:E59"/>
  <sheetViews>
    <sheetView tabSelected="1" workbookViewId="0">
      <selection activeCell="A56" sqref="A56:E56"/>
    </sheetView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57.6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7" t="s">
        <v>2475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615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2956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61" t="s">
        <v>1209</v>
      </c>
      <c r="B12" s="12" t="s">
        <v>2957</v>
      </c>
      <c r="C12" s="13" t="s">
        <v>1728</v>
      </c>
      <c r="D12" s="156" t="s">
        <v>2958</v>
      </c>
      <c r="E12" s="134">
        <v>17399</v>
      </c>
    </row>
    <row r="13" spans="1:5" ht="15.75" customHeight="1">
      <c r="A13" s="161" t="s">
        <v>1212</v>
      </c>
      <c r="B13" s="12" t="s">
        <v>2959</v>
      </c>
      <c r="C13" s="13" t="s">
        <v>783</v>
      </c>
      <c r="D13" s="171" t="s">
        <v>2960</v>
      </c>
      <c r="E13" s="134">
        <v>7674</v>
      </c>
    </row>
    <row r="14" spans="1:5" ht="15.75" customHeight="1">
      <c r="A14" s="161" t="s">
        <v>1215</v>
      </c>
      <c r="B14" s="149" t="s">
        <v>2539</v>
      </c>
      <c r="C14" s="13" t="s">
        <v>2961</v>
      </c>
      <c r="D14" s="156" t="s">
        <v>2962</v>
      </c>
      <c r="E14" s="134">
        <v>245200</v>
      </c>
    </row>
    <row r="15" spans="1:5" ht="15.75" customHeight="1">
      <c r="A15" s="161" t="s">
        <v>1217</v>
      </c>
      <c r="B15" s="12" t="s">
        <v>2963</v>
      </c>
      <c r="C15" s="13" t="s">
        <v>56</v>
      </c>
      <c r="D15" s="171" t="s">
        <v>2964</v>
      </c>
      <c r="E15" s="134">
        <v>15640</v>
      </c>
    </row>
    <row r="16" spans="1:5" ht="15.75" customHeight="1">
      <c r="A16" s="161" t="s">
        <v>1221</v>
      </c>
      <c r="B16" s="149" t="s">
        <v>2965</v>
      </c>
      <c r="C16" s="13" t="s">
        <v>2263</v>
      </c>
      <c r="D16" s="156" t="s">
        <v>2966</v>
      </c>
      <c r="E16" s="134">
        <v>64850</v>
      </c>
    </row>
    <row r="17" spans="1:5" ht="15.75" customHeight="1">
      <c r="A17" s="161" t="s">
        <v>1224</v>
      </c>
      <c r="B17" s="149" t="s">
        <v>2967</v>
      </c>
      <c r="C17" s="13" t="s">
        <v>2263</v>
      </c>
      <c r="D17" s="156" t="s">
        <v>2968</v>
      </c>
      <c r="E17" s="134">
        <v>174548</v>
      </c>
    </row>
    <row r="18" spans="1:5" ht="15.75" customHeight="1">
      <c r="A18" s="161" t="s">
        <v>1226</v>
      </c>
      <c r="B18" s="149" t="s">
        <v>2214</v>
      </c>
      <c r="C18" s="13" t="s">
        <v>1728</v>
      </c>
      <c r="D18" s="100">
        <v>233167238</v>
      </c>
      <c r="E18" s="134">
        <v>12222</v>
      </c>
    </row>
    <row r="19" spans="1:5" ht="15.75" customHeight="1">
      <c r="A19" s="161" t="s">
        <v>1228</v>
      </c>
      <c r="B19" s="149" t="s">
        <v>2969</v>
      </c>
      <c r="C19" s="13" t="s">
        <v>2637</v>
      </c>
      <c r="D19" s="156" t="s">
        <v>2970</v>
      </c>
      <c r="E19" s="134">
        <v>9400</v>
      </c>
    </row>
    <row r="20" spans="1:5" ht="15.75" customHeight="1">
      <c r="A20" s="161" t="s">
        <v>1230</v>
      </c>
      <c r="B20" s="12" t="s">
        <v>2971</v>
      </c>
      <c r="C20" s="13" t="s">
        <v>2972</v>
      </c>
      <c r="D20" s="171" t="s">
        <v>2973</v>
      </c>
      <c r="E20" s="134">
        <v>16200</v>
      </c>
    </row>
    <row r="21" spans="1:5" ht="15.75" customHeight="1">
      <c r="A21" s="161" t="s">
        <v>1232</v>
      </c>
      <c r="B21" s="149" t="s">
        <v>2974</v>
      </c>
      <c r="C21" s="13" t="s">
        <v>2839</v>
      </c>
      <c r="D21" s="156" t="s">
        <v>2975</v>
      </c>
      <c r="E21" s="134">
        <v>31200</v>
      </c>
    </row>
    <row r="22" spans="1:5" ht="15.75" customHeight="1">
      <c r="A22" s="161" t="s">
        <v>1234</v>
      </c>
      <c r="B22" s="149" t="s">
        <v>2976</v>
      </c>
      <c r="C22" s="13" t="s">
        <v>2977</v>
      </c>
      <c r="D22" s="156" t="s">
        <v>2978</v>
      </c>
      <c r="E22" s="134">
        <v>35000</v>
      </c>
    </row>
    <row r="23" spans="1:5" ht="15.75" customHeight="1">
      <c r="A23" s="161" t="s">
        <v>1236</v>
      </c>
      <c r="B23" s="149" t="s">
        <v>2979</v>
      </c>
      <c r="C23" s="13" t="s">
        <v>81</v>
      </c>
      <c r="D23" s="156" t="s">
        <v>2980</v>
      </c>
      <c r="E23" s="134">
        <v>27280</v>
      </c>
    </row>
    <row r="24" spans="1:5" ht="15.75" customHeight="1">
      <c r="A24" s="161" t="s">
        <v>1240</v>
      </c>
      <c r="B24" s="149" t="s">
        <v>2981</v>
      </c>
      <c r="C24" s="13" t="s">
        <v>378</v>
      </c>
      <c r="D24" s="171" t="s">
        <v>2982</v>
      </c>
      <c r="E24" s="134">
        <v>33700</v>
      </c>
    </row>
    <row r="25" spans="1:5" ht="15.75" customHeight="1">
      <c r="A25" s="161" t="s">
        <v>1242</v>
      </c>
      <c r="B25" s="149" t="s">
        <v>2983</v>
      </c>
      <c r="C25" s="13" t="s">
        <v>378</v>
      </c>
      <c r="D25" s="156" t="s">
        <v>2984</v>
      </c>
      <c r="E25" s="134">
        <v>1850</v>
      </c>
    </row>
    <row r="26" spans="1:5" ht="15.75" customHeight="1">
      <c r="A26" s="161" t="s">
        <v>1245</v>
      </c>
      <c r="B26" s="149" t="s">
        <v>2985</v>
      </c>
      <c r="C26" s="100" t="s">
        <v>2986</v>
      </c>
      <c r="D26" s="156" t="s">
        <v>2987</v>
      </c>
      <c r="E26" s="134">
        <v>28780</v>
      </c>
    </row>
    <row r="27" spans="1:5" ht="15.75" customHeight="1">
      <c r="A27" s="161" t="s">
        <v>1247</v>
      </c>
      <c r="B27" s="12" t="s">
        <v>2988</v>
      </c>
      <c r="C27" s="13" t="s">
        <v>1899</v>
      </c>
      <c r="D27" s="171" t="s">
        <v>2989</v>
      </c>
      <c r="E27" s="134">
        <v>23900</v>
      </c>
    </row>
    <row r="28" spans="1:5" ht="15.75" customHeight="1">
      <c r="A28" s="161" t="s">
        <v>1249</v>
      </c>
      <c r="B28" s="149" t="s">
        <v>2990</v>
      </c>
      <c r="C28" s="13" t="s">
        <v>2831</v>
      </c>
      <c r="D28" s="156" t="s">
        <v>2991</v>
      </c>
      <c r="E28" s="134">
        <v>1600</v>
      </c>
    </row>
    <row r="29" spans="1:5" ht="15.75" customHeight="1">
      <c r="A29" s="161" t="s">
        <v>1252</v>
      </c>
      <c r="B29" s="149" t="s">
        <v>2992</v>
      </c>
      <c r="C29" s="100" t="s">
        <v>56</v>
      </c>
      <c r="D29" s="156" t="s">
        <v>2993</v>
      </c>
      <c r="E29" s="134">
        <v>97320</v>
      </c>
    </row>
    <row r="30" spans="1:5" ht="15.75" customHeight="1">
      <c r="A30" s="161" t="s">
        <v>1255</v>
      </c>
      <c r="B30" s="149" t="s">
        <v>2994</v>
      </c>
      <c r="C30" s="13" t="s">
        <v>2831</v>
      </c>
      <c r="D30" s="156" t="s">
        <v>2995</v>
      </c>
      <c r="E30" s="134">
        <v>6300</v>
      </c>
    </row>
    <row r="31" spans="1:5" ht="15.75" customHeight="1">
      <c r="A31" s="161" t="s">
        <v>1257</v>
      </c>
      <c r="B31" s="149" t="s">
        <v>2996</v>
      </c>
      <c r="C31" s="13" t="s">
        <v>2997</v>
      </c>
      <c r="D31" s="156" t="s">
        <v>2998</v>
      </c>
      <c r="E31" s="134">
        <v>16000</v>
      </c>
    </row>
    <row r="32" spans="1:5" ht="15.75" customHeight="1">
      <c r="A32" s="161" t="s">
        <v>1259</v>
      </c>
      <c r="B32" s="149" t="s">
        <v>2999</v>
      </c>
      <c r="C32" s="13" t="s">
        <v>2997</v>
      </c>
      <c r="D32" s="156" t="s">
        <v>3000</v>
      </c>
      <c r="E32" s="134">
        <v>24000</v>
      </c>
    </row>
    <row r="33" spans="1:5" ht="15.75" customHeight="1">
      <c r="A33" s="161" t="s">
        <v>1263</v>
      </c>
      <c r="B33" s="149" t="s">
        <v>3001</v>
      </c>
      <c r="C33" s="100" t="s">
        <v>56</v>
      </c>
      <c r="D33" s="156" t="s">
        <v>3002</v>
      </c>
      <c r="E33" s="134">
        <v>103950</v>
      </c>
    </row>
    <row r="34" spans="1:5" ht="15.75" customHeight="1">
      <c r="A34" s="161" t="s">
        <v>1267</v>
      </c>
      <c r="B34" s="149" t="s">
        <v>3003</v>
      </c>
      <c r="C34" s="100" t="s">
        <v>378</v>
      </c>
      <c r="D34" s="156" t="s">
        <v>2423</v>
      </c>
      <c r="E34" s="134">
        <v>6521</v>
      </c>
    </row>
    <row r="35" spans="1:5" ht="15.75" customHeight="1">
      <c r="A35" s="161" t="s">
        <v>1270</v>
      </c>
      <c r="B35" s="149" t="s">
        <v>3004</v>
      </c>
      <c r="C35" s="13" t="s">
        <v>1728</v>
      </c>
      <c r="D35" s="156" t="s">
        <v>3005</v>
      </c>
      <c r="E35" s="134">
        <v>12510</v>
      </c>
    </row>
    <row r="36" spans="1:5" ht="15.75" customHeight="1">
      <c r="A36" s="161" t="s">
        <v>1273</v>
      </c>
      <c r="B36" s="149" t="s">
        <v>3006</v>
      </c>
      <c r="C36" s="13" t="s">
        <v>2961</v>
      </c>
      <c r="D36" s="156" t="s">
        <v>3007</v>
      </c>
      <c r="E36" s="134">
        <v>152600</v>
      </c>
    </row>
    <row r="37" spans="1:5" ht="15.75" customHeight="1">
      <c r="A37" s="161" t="s">
        <v>1275</v>
      </c>
      <c r="B37" s="149" t="s">
        <v>3008</v>
      </c>
      <c r="C37" s="13" t="s">
        <v>828</v>
      </c>
      <c r="D37" s="156" t="s">
        <v>3009</v>
      </c>
      <c r="E37" s="134">
        <v>43080</v>
      </c>
    </row>
    <row r="38" spans="1:5" ht="15.75" customHeight="1">
      <c r="A38" s="161" t="s">
        <v>1278</v>
      </c>
      <c r="B38" s="149" t="s">
        <v>3010</v>
      </c>
      <c r="C38" s="100" t="s">
        <v>2986</v>
      </c>
      <c r="D38" s="156" t="s">
        <v>3011</v>
      </c>
      <c r="E38" s="134">
        <v>52392</v>
      </c>
    </row>
    <row r="39" spans="1:5" ht="15.75" customHeight="1">
      <c r="A39" s="161" t="s">
        <v>1281</v>
      </c>
      <c r="B39" s="149" t="s">
        <v>3012</v>
      </c>
      <c r="C39" s="100" t="s">
        <v>378</v>
      </c>
      <c r="D39" s="156" t="s">
        <v>3013</v>
      </c>
      <c r="E39" s="134">
        <v>107608.7</v>
      </c>
    </row>
    <row r="40" spans="1:5" ht="15.75" customHeight="1">
      <c r="A40" s="161" t="s">
        <v>1284</v>
      </c>
      <c r="B40" s="149" t="s">
        <v>3014</v>
      </c>
      <c r="C40" s="13" t="s">
        <v>2502</v>
      </c>
      <c r="D40" s="156" t="s">
        <v>3015</v>
      </c>
      <c r="E40" s="134">
        <v>37600</v>
      </c>
    </row>
    <row r="41" spans="1:5" ht="15.75" customHeight="1">
      <c r="A41" s="161" t="s">
        <v>1286</v>
      </c>
      <c r="B41" s="12" t="s">
        <v>3016</v>
      </c>
      <c r="C41" s="13" t="s">
        <v>2839</v>
      </c>
      <c r="D41" s="171" t="s">
        <v>3017</v>
      </c>
      <c r="E41" s="134">
        <v>91910</v>
      </c>
    </row>
    <row r="42" spans="1:5" ht="15.75" customHeight="1">
      <c r="A42" s="161" t="s">
        <v>1288</v>
      </c>
      <c r="B42" s="149" t="s">
        <v>3018</v>
      </c>
      <c r="C42" s="13" t="s">
        <v>1277</v>
      </c>
      <c r="D42" s="156" t="s">
        <v>3019</v>
      </c>
      <c r="E42" s="134">
        <v>59489</v>
      </c>
    </row>
    <row r="43" spans="1:5" ht="15.75" customHeight="1">
      <c r="A43" s="161" t="s">
        <v>1290</v>
      </c>
      <c r="B43" s="12" t="s">
        <v>3020</v>
      </c>
      <c r="C43" s="13" t="s">
        <v>1728</v>
      </c>
      <c r="D43" s="156" t="s">
        <v>3021</v>
      </c>
      <c r="E43" s="134">
        <v>5774</v>
      </c>
    </row>
    <row r="44" spans="1:5" ht="15.75" customHeight="1">
      <c r="A44" s="161" t="s">
        <v>1293</v>
      </c>
      <c r="B44" s="12" t="s">
        <v>3022</v>
      </c>
      <c r="C44" s="13" t="s">
        <v>2831</v>
      </c>
      <c r="D44" s="171" t="s">
        <v>3023</v>
      </c>
      <c r="E44" s="134">
        <v>35960</v>
      </c>
    </row>
    <row r="45" spans="1:5" ht="15.75" customHeight="1">
      <c r="A45" s="161" t="s">
        <v>1295</v>
      </c>
      <c r="B45" s="12" t="s">
        <v>3024</v>
      </c>
      <c r="C45" s="13" t="s">
        <v>1728</v>
      </c>
      <c r="D45" s="171" t="s">
        <v>3025</v>
      </c>
      <c r="E45" s="134">
        <v>580</v>
      </c>
    </row>
    <row r="46" spans="1:5" ht="15.75" customHeight="1">
      <c r="A46" s="161" t="s">
        <v>1297</v>
      </c>
      <c r="B46" s="149" t="s">
        <v>3026</v>
      </c>
      <c r="C46" s="13" t="s">
        <v>378</v>
      </c>
      <c r="D46" s="172" t="s">
        <v>3027</v>
      </c>
      <c r="E46" s="134">
        <v>1794</v>
      </c>
    </row>
    <row r="47" spans="1:5" ht="34" customHeight="1">
      <c r="A47" s="161" t="s">
        <v>1301</v>
      </c>
      <c r="B47" s="149" t="s">
        <v>3028</v>
      </c>
      <c r="C47" s="13" t="s">
        <v>1058</v>
      </c>
      <c r="D47" s="172" t="s">
        <v>3029</v>
      </c>
      <c r="E47" s="134">
        <v>87206.56</v>
      </c>
    </row>
    <row r="48" spans="1:5" ht="15.75" customHeight="1">
      <c r="A48" s="161" t="s">
        <v>1303</v>
      </c>
      <c r="B48" s="149" t="s">
        <v>3030</v>
      </c>
      <c r="C48" s="13" t="s">
        <v>378</v>
      </c>
      <c r="D48" s="172" t="s">
        <v>3031</v>
      </c>
      <c r="E48" s="134">
        <v>2713.04</v>
      </c>
    </row>
    <row r="49" spans="1:5" ht="15.75" customHeight="1">
      <c r="A49" s="161" t="s">
        <v>1306</v>
      </c>
      <c r="B49" s="149" t="s">
        <v>3032</v>
      </c>
      <c r="C49" s="13" t="s">
        <v>2961</v>
      </c>
      <c r="D49" s="156" t="s">
        <v>3033</v>
      </c>
      <c r="E49" s="134">
        <v>73000</v>
      </c>
    </row>
    <row r="50" spans="1:5" ht="15.75" customHeight="1">
      <c r="A50" s="161" t="s">
        <v>1310</v>
      </c>
      <c r="B50" s="149" t="s">
        <v>3034</v>
      </c>
      <c r="C50" s="13" t="s">
        <v>783</v>
      </c>
      <c r="D50" s="172" t="s">
        <v>3035</v>
      </c>
      <c r="E50" s="134">
        <v>31000</v>
      </c>
    </row>
    <row r="51" spans="1:5" ht="15.75" customHeight="1">
      <c r="A51" s="108" t="s">
        <v>24</v>
      </c>
      <c r="B51" s="216"/>
      <c r="C51" s="204"/>
      <c r="D51" s="205"/>
      <c r="E51" s="49">
        <f>SUM(E12:E50)</f>
        <v>1795751.3</v>
      </c>
    </row>
    <row r="52" spans="1:5" ht="15.75" customHeight="1">
      <c r="A52" s="217" t="s">
        <v>3036</v>
      </c>
      <c r="B52" s="204"/>
      <c r="C52" s="204"/>
      <c r="D52" s="205"/>
      <c r="E52" s="192">
        <f>IF(E51&gt;=10000000,5000000*2%+5000000*1%+(E51-10000000)*1%,IF(E51&gt;=5000000,5000000*2%+(E51-5000000)*1%,E51*2%))</f>
        <v>35915.026000000005</v>
      </c>
    </row>
    <row r="53" spans="1:5" ht="15.75" customHeight="1">
      <c r="A53" s="211"/>
      <c r="B53" s="196"/>
      <c r="C53" s="196"/>
      <c r="D53" s="196"/>
      <c r="E53" s="196"/>
    </row>
    <row r="54" spans="1:5" ht="15.75" customHeight="1">
      <c r="A54" s="211"/>
      <c r="B54" s="196"/>
      <c r="C54" s="196"/>
      <c r="D54" s="196"/>
      <c r="E54" s="27"/>
    </row>
    <row r="55" spans="1:5" ht="14.25" customHeight="1">
      <c r="A55" s="211" t="s">
        <v>25</v>
      </c>
      <c r="B55" s="196"/>
      <c r="C55" s="196"/>
      <c r="D55" s="196"/>
      <c r="E55" s="196"/>
    </row>
    <row r="56" spans="1:5" ht="35.25" customHeight="1">
      <c r="A56" s="211"/>
      <c r="B56" s="196"/>
      <c r="C56" s="196"/>
      <c r="D56" s="196"/>
      <c r="E56" s="196"/>
    </row>
    <row r="57" spans="1:5" ht="15.75" customHeight="1">
      <c r="A57" s="211" t="s">
        <v>26</v>
      </c>
      <c r="B57" s="196"/>
      <c r="C57" s="196"/>
      <c r="D57" s="196"/>
      <c r="E57" s="196"/>
    </row>
    <row r="58" spans="1:5" ht="15.75" customHeight="1">
      <c r="A58" s="211" t="s">
        <v>27</v>
      </c>
      <c r="B58" s="196"/>
      <c r="C58" s="196"/>
      <c r="D58" s="196"/>
      <c r="E58" s="196"/>
    </row>
    <row r="59" spans="1:5" ht="15.75" customHeight="1">
      <c r="A59" s="211" t="s">
        <v>28</v>
      </c>
      <c r="B59" s="196"/>
      <c r="C59" s="196"/>
      <c r="D59" s="196"/>
      <c r="E59" s="196"/>
    </row>
  </sheetData>
  <mergeCells count="19">
    <mergeCell ref="A58:E58"/>
    <mergeCell ref="A59:E59"/>
    <mergeCell ref="A8:E8"/>
    <mergeCell ref="A9:E9"/>
    <mergeCell ref="A10:E10"/>
    <mergeCell ref="B51:D51"/>
    <mergeCell ref="A52:D52"/>
    <mergeCell ref="A53:E53"/>
    <mergeCell ref="A54:D54"/>
    <mergeCell ref="A6:E6"/>
    <mergeCell ref="A7:E7"/>
    <mergeCell ref="A55:E55"/>
    <mergeCell ref="A56:E56"/>
    <mergeCell ref="A57:E57"/>
    <mergeCell ref="A1:E1"/>
    <mergeCell ref="A2:E2"/>
    <mergeCell ref="A3:E3"/>
    <mergeCell ref="A4:E4"/>
    <mergeCell ref="A5:E5"/>
  </mergeCells>
  <conditionalFormatting sqref="E12:E50">
    <cfRule type="notContainsBlanks" dxfId="1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outlinePr summaryBelow="0" summaryRight="0"/>
    <pageSetUpPr fitToPage="1"/>
  </sheetPr>
  <dimension ref="A1:E59"/>
  <sheetViews>
    <sheetView workbookViewId="0">
      <selection sqref="A1:E1"/>
    </sheetView>
  </sheetViews>
  <sheetFormatPr baseColWidth="10" defaultColWidth="12.6640625" defaultRowHeight="15" customHeight="1"/>
  <cols>
    <col min="1" max="1" width="8.5" customWidth="1"/>
    <col min="2" max="2" width="57.83203125" customWidth="1"/>
    <col min="3" max="3" width="57.6640625" customWidth="1"/>
    <col min="4" max="4" width="19.1640625" customWidth="1"/>
    <col min="5" max="5" width="18.33203125" customWidth="1"/>
  </cols>
  <sheetData>
    <row r="1" spans="1:5" ht="15.75" customHeight="1">
      <c r="A1" s="207" t="s">
        <v>0</v>
      </c>
      <c r="B1" s="196"/>
      <c r="C1" s="196"/>
      <c r="D1" s="196"/>
      <c r="E1" s="196"/>
    </row>
    <row r="2" spans="1:5" ht="15.75" customHeight="1">
      <c r="A2" s="207" t="s">
        <v>2475</v>
      </c>
      <c r="B2" s="196"/>
      <c r="C2" s="196"/>
      <c r="D2" s="196"/>
      <c r="E2" s="196"/>
    </row>
    <row r="3" spans="1:5" ht="15.75" customHeight="1">
      <c r="A3" s="209" t="s">
        <v>2</v>
      </c>
      <c r="B3" s="196"/>
      <c r="C3" s="196"/>
      <c r="D3" s="196"/>
      <c r="E3" s="196"/>
    </row>
    <row r="4" spans="1:5" ht="15.75" customHeight="1">
      <c r="A4" s="209" t="s">
        <v>3</v>
      </c>
      <c r="B4" s="196"/>
      <c r="C4" s="196"/>
      <c r="D4" s="196"/>
      <c r="E4" s="196"/>
    </row>
    <row r="5" spans="1:5" ht="15.75" customHeight="1">
      <c r="A5" s="209" t="s">
        <v>4</v>
      </c>
      <c r="B5" s="196"/>
      <c r="C5" s="196"/>
      <c r="D5" s="196"/>
      <c r="E5" s="196"/>
    </row>
    <row r="6" spans="1:5" ht="15.75" customHeight="1">
      <c r="A6" s="209" t="s">
        <v>5</v>
      </c>
      <c r="B6" s="196"/>
      <c r="C6" s="196"/>
      <c r="D6" s="196"/>
      <c r="E6" s="196"/>
    </row>
    <row r="7" spans="1:5" ht="15.75" customHeight="1">
      <c r="A7" s="210" t="s">
        <v>6</v>
      </c>
      <c r="B7" s="196"/>
      <c r="C7" s="196"/>
      <c r="D7" s="196"/>
      <c r="E7" s="196"/>
    </row>
    <row r="8" spans="1:5" ht="15.75" customHeight="1">
      <c r="A8" s="212" t="s">
        <v>7</v>
      </c>
      <c r="B8" s="196"/>
      <c r="C8" s="196"/>
      <c r="D8" s="196"/>
      <c r="E8" s="196"/>
    </row>
    <row r="9" spans="1:5" ht="15.75" customHeight="1">
      <c r="A9" s="213" t="s">
        <v>3037</v>
      </c>
      <c r="B9" s="196"/>
      <c r="C9" s="196"/>
      <c r="D9" s="196"/>
      <c r="E9" s="196"/>
    </row>
    <row r="10" spans="1:5" ht="15.75" customHeight="1">
      <c r="A10" s="211"/>
      <c r="B10" s="196"/>
      <c r="C10" s="196"/>
      <c r="D10" s="196"/>
      <c r="E10" s="196"/>
    </row>
    <row r="11" spans="1:5" ht="15.75" customHeight="1">
      <c r="A11" s="105" t="s">
        <v>245</v>
      </c>
      <c r="B11" s="9" t="s">
        <v>9</v>
      </c>
      <c r="C11" s="9" t="s">
        <v>10</v>
      </c>
      <c r="D11" s="105" t="s">
        <v>12</v>
      </c>
      <c r="E11" s="77" t="s">
        <v>11</v>
      </c>
    </row>
    <row r="12" spans="1:5" ht="15.75" customHeight="1">
      <c r="A12" s="161" t="s">
        <v>1209</v>
      </c>
      <c r="B12" s="12" t="s">
        <v>2957</v>
      </c>
      <c r="C12" s="13" t="s">
        <v>1728</v>
      </c>
      <c r="D12" s="156" t="s">
        <v>2958</v>
      </c>
      <c r="E12" s="134">
        <v>17399</v>
      </c>
    </row>
    <row r="13" spans="1:5" ht="15.75" customHeight="1">
      <c r="A13" s="161" t="s">
        <v>1212</v>
      </c>
      <c r="B13" s="12" t="s">
        <v>2959</v>
      </c>
      <c r="C13" s="13" t="s">
        <v>783</v>
      </c>
      <c r="D13" s="171" t="s">
        <v>2960</v>
      </c>
      <c r="E13" s="134">
        <v>7674</v>
      </c>
    </row>
    <row r="14" spans="1:5" ht="15.75" customHeight="1">
      <c r="A14" s="161" t="s">
        <v>1215</v>
      </c>
      <c r="B14" s="149" t="s">
        <v>2539</v>
      </c>
      <c r="C14" s="13" t="s">
        <v>2961</v>
      </c>
      <c r="D14" s="156" t="s">
        <v>2962</v>
      </c>
      <c r="E14" s="134">
        <v>245200</v>
      </c>
    </row>
    <row r="15" spans="1:5" ht="15.75" customHeight="1">
      <c r="A15" s="161" t="s">
        <v>1217</v>
      </c>
      <c r="B15" s="12" t="s">
        <v>2963</v>
      </c>
      <c r="C15" s="13" t="s">
        <v>56</v>
      </c>
      <c r="D15" s="171" t="s">
        <v>2964</v>
      </c>
      <c r="E15" s="134">
        <v>15640</v>
      </c>
    </row>
    <row r="16" spans="1:5" ht="15.75" customHeight="1">
      <c r="A16" s="161" t="s">
        <v>1221</v>
      </c>
      <c r="B16" s="149" t="s">
        <v>2965</v>
      </c>
      <c r="C16" s="13" t="s">
        <v>2263</v>
      </c>
      <c r="D16" s="156" t="s">
        <v>2966</v>
      </c>
      <c r="E16" s="134">
        <v>64850</v>
      </c>
    </row>
    <row r="17" spans="1:5" ht="15.75" customHeight="1">
      <c r="A17" s="161" t="s">
        <v>1224</v>
      </c>
      <c r="B17" s="149" t="s">
        <v>2967</v>
      </c>
      <c r="C17" s="13" t="s">
        <v>2263</v>
      </c>
      <c r="D17" s="156" t="s">
        <v>2968</v>
      </c>
      <c r="E17" s="134">
        <v>174548</v>
      </c>
    </row>
    <row r="18" spans="1:5" ht="15.75" customHeight="1">
      <c r="A18" s="161" t="s">
        <v>1226</v>
      </c>
      <c r="B18" s="149" t="s">
        <v>2214</v>
      </c>
      <c r="C18" s="13" t="s">
        <v>1728</v>
      </c>
      <c r="D18" s="100">
        <v>233167238</v>
      </c>
      <c r="E18" s="134">
        <v>12222</v>
      </c>
    </row>
    <row r="19" spans="1:5" ht="15.75" customHeight="1">
      <c r="A19" s="161" t="s">
        <v>1228</v>
      </c>
      <c r="B19" s="149" t="s">
        <v>2969</v>
      </c>
      <c r="C19" s="13" t="s">
        <v>2637</v>
      </c>
      <c r="D19" s="156" t="s">
        <v>2970</v>
      </c>
      <c r="E19" s="134">
        <v>9400</v>
      </c>
    </row>
    <row r="20" spans="1:5" ht="15.75" customHeight="1">
      <c r="A20" s="161" t="s">
        <v>1230</v>
      </c>
      <c r="B20" s="12" t="s">
        <v>2971</v>
      </c>
      <c r="C20" s="13" t="s">
        <v>2972</v>
      </c>
      <c r="D20" s="171" t="s">
        <v>2973</v>
      </c>
      <c r="E20" s="134">
        <v>16200</v>
      </c>
    </row>
    <row r="21" spans="1:5" ht="15.75" customHeight="1">
      <c r="A21" s="161" t="s">
        <v>1232</v>
      </c>
      <c r="B21" s="149" t="s">
        <v>2974</v>
      </c>
      <c r="C21" s="13" t="s">
        <v>2839</v>
      </c>
      <c r="D21" s="156" t="s">
        <v>2975</v>
      </c>
      <c r="E21" s="134">
        <v>31200</v>
      </c>
    </row>
    <row r="22" spans="1:5" ht="15.75" customHeight="1">
      <c r="A22" s="161" t="s">
        <v>1234</v>
      </c>
      <c r="B22" s="149" t="s">
        <v>2976</v>
      </c>
      <c r="C22" s="13" t="s">
        <v>2977</v>
      </c>
      <c r="D22" s="156" t="s">
        <v>2978</v>
      </c>
      <c r="E22" s="134">
        <v>35000</v>
      </c>
    </row>
    <row r="23" spans="1:5" ht="15.75" customHeight="1">
      <c r="A23" s="161" t="s">
        <v>1236</v>
      </c>
      <c r="B23" s="149" t="s">
        <v>2979</v>
      </c>
      <c r="C23" s="13" t="s">
        <v>81</v>
      </c>
      <c r="D23" s="156" t="s">
        <v>2980</v>
      </c>
      <c r="E23" s="134">
        <v>27280</v>
      </c>
    </row>
    <row r="24" spans="1:5" ht="15.75" customHeight="1">
      <c r="A24" s="161" t="s">
        <v>1240</v>
      </c>
      <c r="B24" s="149" t="s">
        <v>2981</v>
      </c>
      <c r="C24" s="13" t="s">
        <v>378</v>
      </c>
      <c r="D24" s="171" t="s">
        <v>2982</v>
      </c>
      <c r="E24" s="134">
        <v>33700</v>
      </c>
    </row>
    <row r="25" spans="1:5" ht="15.75" customHeight="1">
      <c r="A25" s="161" t="s">
        <v>1242</v>
      </c>
      <c r="B25" s="149" t="s">
        <v>2983</v>
      </c>
      <c r="C25" s="13" t="s">
        <v>378</v>
      </c>
      <c r="D25" s="156" t="s">
        <v>2984</v>
      </c>
      <c r="E25" s="134">
        <v>1850</v>
      </c>
    </row>
    <row r="26" spans="1:5" ht="15.75" customHeight="1">
      <c r="A26" s="161" t="s">
        <v>1245</v>
      </c>
      <c r="B26" s="149" t="s">
        <v>2985</v>
      </c>
      <c r="C26" s="100" t="s">
        <v>2986</v>
      </c>
      <c r="D26" s="156" t="s">
        <v>2987</v>
      </c>
      <c r="E26" s="134">
        <v>28780</v>
      </c>
    </row>
    <row r="27" spans="1:5" ht="15.75" customHeight="1">
      <c r="A27" s="161" t="s">
        <v>1247</v>
      </c>
      <c r="B27" s="12" t="s">
        <v>2988</v>
      </c>
      <c r="C27" s="13" t="s">
        <v>1899</v>
      </c>
      <c r="D27" s="171" t="s">
        <v>2989</v>
      </c>
      <c r="E27" s="134">
        <v>23900</v>
      </c>
    </row>
    <row r="28" spans="1:5" ht="15.75" customHeight="1">
      <c r="A28" s="161" t="s">
        <v>1249</v>
      </c>
      <c r="B28" s="149" t="s">
        <v>2990</v>
      </c>
      <c r="C28" s="13" t="s">
        <v>2831</v>
      </c>
      <c r="D28" s="156" t="s">
        <v>2991</v>
      </c>
      <c r="E28" s="134">
        <v>1600</v>
      </c>
    </row>
    <row r="29" spans="1:5" ht="15.75" customHeight="1">
      <c r="A29" s="161" t="s">
        <v>1252</v>
      </c>
      <c r="B29" s="149" t="s">
        <v>2992</v>
      </c>
      <c r="C29" s="100" t="s">
        <v>56</v>
      </c>
      <c r="D29" s="156" t="s">
        <v>2993</v>
      </c>
      <c r="E29" s="134">
        <v>97320</v>
      </c>
    </row>
    <row r="30" spans="1:5" ht="15.75" customHeight="1">
      <c r="A30" s="161" t="s">
        <v>1255</v>
      </c>
      <c r="B30" s="149" t="s">
        <v>2994</v>
      </c>
      <c r="C30" s="13" t="s">
        <v>2831</v>
      </c>
      <c r="D30" s="156" t="s">
        <v>2995</v>
      </c>
      <c r="E30" s="134">
        <v>6300</v>
      </c>
    </row>
    <row r="31" spans="1:5" ht="15.75" customHeight="1">
      <c r="A31" s="161" t="s">
        <v>1257</v>
      </c>
      <c r="B31" s="149" t="s">
        <v>2996</v>
      </c>
      <c r="C31" s="13" t="s">
        <v>2997</v>
      </c>
      <c r="D31" s="156" t="s">
        <v>2998</v>
      </c>
      <c r="E31" s="134">
        <v>16000</v>
      </c>
    </row>
    <row r="32" spans="1:5" ht="15.75" customHeight="1">
      <c r="A32" s="161" t="s">
        <v>1259</v>
      </c>
      <c r="B32" s="149" t="s">
        <v>2999</v>
      </c>
      <c r="C32" s="13" t="s">
        <v>2997</v>
      </c>
      <c r="D32" s="156" t="s">
        <v>3000</v>
      </c>
      <c r="E32" s="134">
        <v>24000</v>
      </c>
    </row>
    <row r="33" spans="1:5" ht="15.75" customHeight="1">
      <c r="A33" s="161" t="s">
        <v>1263</v>
      </c>
      <c r="B33" s="149" t="s">
        <v>3001</v>
      </c>
      <c r="C33" s="100" t="s">
        <v>56</v>
      </c>
      <c r="D33" s="156" t="s">
        <v>3002</v>
      </c>
      <c r="E33" s="134">
        <v>103950</v>
      </c>
    </row>
    <row r="34" spans="1:5" ht="15.75" customHeight="1">
      <c r="A34" s="161" t="s">
        <v>1267</v>
      </c>
      <c r="B34" s="149" t="s">
        <v>3003</v>
      </c>
      <c r="C34" s="100" t="s">
        <v>378</v>
      </c>
      <c r="D34" s="156" t="s">
        <v>2423</v>
      </c>
      <c r="E34" s="134">
        <v>6521</v>
      </c>
    </row>
    <row r="35" spans="1:5" ht="15.75" customHeight="1">
      <c r="A35" s="161" t="s">
        <v>1270</v>
      </c>
      <c r="B35" s="149" t="s">
        <v>3004</v>
      </c>
      <c r="C35" s="13" t="s">
        <v>1728</v>
      </c>
      <c r="D35" s="156" t="s">
        <v>3005</v>
      </c>
      <c r="E35" s="134">
        <v>12510</v>
      </c>
    </row>
    <row r="36" spans="1:5" ht="15.75" customHeight="1">
      <c r="A36" s="161" t="s">
        <v>1273</v>
      </c>
      <c r="B36" s="149" t="s">
        <v>3006</v>
      </c>
      <c r="C36" s="13" t="s">
        <v>2961</v>
      </c>
      <c r="D36" s="156" t="s">
        <v>3007</v>
      </c>
      <c r="E36" s="134">
        <v>152600</v>
      </c>
    </row>
    <row r="37" spans="1:5" ht="15.75" customHeight="1">
      <c r="A37" s="161" t="s">
        <v>1275</v>
      </c>
      <c r="B37" s="149" t="s">
        <v>3008</v>
      </c>
      <c r="C37" s="13" t="s">
        <v>828</v>
      </c>
      <c r="D37" s="156" t="s">
        <v>3009</v>
      </c>
      <c r="E37" s="134">
        <v>43080</v>
      </c>
    </row>
    <row r="38" spans="1:5" ht="15.75" customHeight="1">
      <c r="A38" s="161" t="s">
        <v>1278</v>
      </c>
      <c r="B38" s="149" t="s">
        <v>3010</v>
      </c>
      <c r="C38" s="100" t="s">
        <v>2986</v>
      </c>
      <c r="D38" s="156" t="s">
        <v>3011</v>
      </c>
      <c r="E38" s="134">
        <v>52392</v>
      </c>
    </row>
    <row r="39" spans="1:5" ht="15.75" customHeight="1">
      <c r="A39" s="161" t="s">
        <v>1281</v>
      </c>
      <c r="B39" s="149" t="s">
        <v>3012</v>
      </c>
      <c r="C39" s="100" t="s">
        <v>378</v>
      </c>
      <c r="D39" s="156" t="s">
        <v>3013</v>
      </c>
      <c r="E39" s="134">
        <v>107608.7</v>
      </c>
    </row>
    <row r="40" spans="1:5" ht="15.75" customHeight="1">
      <c r="A40" s="161" t="s">
        <v>1284</v>
      </c>
      <c r="B40" s="149" t="s">
        <v>3014</v>
      </c>
      <c r="C40" s="13" t="s">
        <v>2502</v>
      </c>
      <c r="D40" s="156" t="s">
        <v>3015</v>
      </c>
      <c r="E40" s="134">
        <v>37600</v>
      </c>
    </row>
    <row r="41" spans="1:5" ht="15.75" customHeight="1">
      <c r="A41" s="161" t="s">
        <v>1286</v>
      </c>
      <c r="B41" s="12" t="s">
        <v>3016</v>
      </c>
      <c r="C41" s="13" t="s">
        <v>2839</v>
      </c>
      <c r="D41" s="171" t="s">
        <v>3017</v>
      </c>
      <c r="E41" s="134">
        <v>91910</v>
      </c>
    </row>
    <row r="42" spans="1:5" ht="15.75" customHeight="1">
      <c r="A42" s="161" t="s">
        <v>1288</v>
      </c>
      <c r="B42" s="149" t="s">
        <v>3018</v>
      </c>
      <c r="C42" s="13" t="s">
        <v>1277</v>
      </c>
      <c r="D42" s="156" t="s">
        <v>3019</v>
      </c>
      <c r="E42" s="134">
        <v>59489</v>
      </c>
    </row>
    <row r="43" spans="1:5" ht="15.75" customHeight="1">
      <c r="A43" s="161" t="s">
        <v>1290</v>
      </c>
      <c r="B43" s="12" t="s">
        <v>3020</v>
      </c>
      <c r="C43" s="13" t="s">
        <v>1728</v>
      </c>
      <c r="D43" s="156" t="s">
        <v>3021</v>
      </c>
      <c r="E43" s="134">
        <v>5774</v>
      </c>
    </row>
    <row r="44" spans="1:5" ht="15.75" customHeight="1">
      <c r="A44" s="161" t="s">
        <v>1293</v>
      </c>
      <c r="B44" s="12" t="s">
        <v>3022</v>
      </c>
      <c r="C44" s="13" t="s">
        <v>2831</v>
      </c>
      <c r="D44" s="171" t="s">
        <v>3023</v>
      </c>
      <c r="E44" s="134">
        <v>35960</v>
      </c>
    </row>
    <row r="45" spans="1:5" ht="15.75" customHeight="1">
      <c r="A45" s="161" t="s">
        <v>1295</v>
      </c>
      <c r="B45" s="12" t="s">
        <v>3024</v>
      </c>
      <c r="C45" s="13" t="s">
        <v>1728</v>
      </c>
      <c r="D45" s="171" t="s">
        <v>3025</v>
      </c>
      <c r="E45" s="134">
        <v>580</v>
      </c>
    </row>
    <row r="46" spans="1:5" ht="15.75" customHeight="1">
      <c r="A46" s="161" t="s">
        <v>1297</v>
      </c>
      <c r="B46" s="149" t="s">
        <v>3026</v>
      </c>
      <c r="C46" s="13" t="s">
        <v>378</v>
      </c>
      <c r="D46" s="172" t="s">
        <v>3027</v>
      </c>
      <c r="E46" s="134">
        <v>1794</v>
      </c>
    </row>
    <row r="47" spans="1:5" ht="30" customHeight="1">
      <c r="A47" s="161" t="s">
        <v>1301</v>
      </c>
      <c r="B47" s="149" t="s">
        <v>3028</v>
      </c>
      <c r="C47" s="13" t="s">
        <v>1058</v>
      </c>
      <c r="D47" s="172" t="s">
        <v>3029</v>
      </c>
      <c r="E47" s="134">
        <v>87206.56</v>
      </c>
    </row>
    <row r="48" spans="1:5" ht="15.75" customHeight="1">
      <c r="A48" s="161" t="s">
        <v>1303</v>
      </c>
      <c r="B48" s="149" t="s">
        <v>3030</v>
      </c>
      <c r="C48" s="13" t="s">
        <v>378</v>
      </c>
      <c r="D48" s="172" t="s">
        <v>3031</v>
      </c>
      <c r="E48" s="134">
        <v>2713.04</v>
      </c>
    </row>
    <row r="49" spans="1:5" ht="15.75" customHeight="1">
      <c r="A49" s="161" t="s">
        <v>1306</v>
      </c>
      <c r="B49" s="149" t="s">
        <v>3032</v>
      </c>
      <c r="C49" s="13" t="s">
        <v>2961</v>
      </c>
      <c r="D49" s="156" t="s">
        <v>3033</v>
      </c>
      <c r="E49" s="134">
        <v>73000</v>
      </c>
    </row>
    <row r="50" spans="1:5" ht="15.75" customHeight="1">
      <c r="A50" s="161" t="s">
        <v>1310</v>
      </c>
      <c r="B50" s="149" t="s">
        <v>3034</v>
      </c>
      <c r="C50" s="13" t="s">
        <v>783</v>
      </c>
      <c r="D50" s="172" t="s">
        <v>3035</v>
      </c>
      <c r="E50" s="134">
        <v>31000</v>
      </c>
    </row>
    <row r="51" spans="1:5" ht="15.75" customHeight="1">
      <c r="A51" s="108" t="s">
        <v>24</v>
      </c>
      <c r="B51" s="216"/>
      <c r="C51" s="204"/>
      <c r="D51" s="205"/>
      <c r="E51" s="49">
        <f>SUM(E12:E50)</f>
        <v>1795751.3</v>
      </c>
    </row>
    <row r="52" spans="1:5" ht="15.75" customHeight="1">
      <c r="A52" s="217" t="s">
        <v>3036</v>
      </c>
      <c r="B52" s="204"/>
      <c r="C52" s="204"/>
      <c r="D52" s="205"/>
      <c r="E52" s="192">
        <f>E51*8%</f>
        <v>143660.10400000002</v>
      </c>
    </row>
    <row r="53" spans="1:5" ht="15.75" customHeight="1">
      <c r="A53" s="211"/>
      <c r="B53" s="196"/>
      <c r="C53" s="196"/>
      <c r="D53" s="196"/>
      <c r="E53" s="196"/>
    </row>
    <row r="54" spans="1:5" ht="15.75" customHeight="1">
      <c r="A54" s="211"/>
      <c r="B54" s="196"/>
      <c r="C54" s="196"/>
      <c r="D54" s="196"/>
      <c r="E54" s="27"/>
    </row>
    <row r="55" spans="1:5" ht="14.25" customHeight="1">
      <c r="A55" s="211" t="s">
        <v>25</v>
      </c>
      <c r="B55" s="196"/>
      <c r="C55" s="196"/>
      <c r="D55" s="196"/>
      <c r="E55" s="196"/>
    </row>
    <row r="56" spans="1:5" ht="35.25" customHeight="1">
      <c r="A56" s="211"/>
      <c r="B56" s="196"/>
      <c r="C56" s="196"/>
      <c r="D56" s="196"/>
      <c r="E56" s="196"/>
    </row>
    <row r="57" spans="1:5" ht="15.75" customHeight="1">
      <c r="A57" s="211" t="s">
        <v>26</v>
      </c>
      <c r="B57" s="196"/>
      <c r="C57" s="196"/>
      <c r="D57" s="196"/>
      <c r="E57" s="196"/>
    </row>
    <row r="58" spans="1:5" ht="15.75" customHeight="1">
      <c r="A58" s="211" t="s">
        <v>27</v>
      </c>
      <c r="B58" s="196"/>
      <c r="C58" s="196"/>
      <c r="D58" s="196"/>
      <c r="E58" s="196"/>
    </row>
    <row r="59" spans="1:5" ht="15.75" customHeight="1">
      <c r="A59" s="211" t="s">
        <v>28</v>
      </c>
      <c r="B59" s="196"/>
      <c r="C59" s="196"/>
      <c r="D59" s="196"/>
      <c r="E59" s="196"/>
    </row>
  </sheetData>
  <mergeCells count="19">
    <mergeCell ref="A58:E58"/>
    <mergeCell ref="A59:E59"/>
    <mergeCell ref="A8:E8"/>
    <mergeCell ref="A9:E9"/>
    <mergeCell ref="A10:E10"/>
    <mergeCell ref="B51:D51"/>
    <mergeCell ref="A52:D52"/>
    <mergeCell ref="A53:E53"/>
    <mergeCell ref="A54:D54"/>
    <mergeCell ref="A6:E6"/>
    <mergeCell ref="A7:E7"/>
    <mergeCell ref="A55:E55"/>
    <mergeCell ref="A56:E56"/>
    <mergeCell ref="A57:E57"/>
    <mergeCell ref="A1:E1"/>
    <mergeCell ref="A2:E2"/>
    <mergeCell ref="A3:E3"/>
    <mergeCell ref="A4:E4"/>
    <mergeCell ref="A5:E5"/>
  </mergeCells>
  <conditionalFormatting sqref="E12:E50">
    <cfRule type="notContainsBlanks" dxfId="0" priority="1">
      <formula>LEN(TRIM(E12))&gt;0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94</vt:i4>
      </vt:variant>
    </vt:vector>
  </HeadingPairs>
  <TitlesOfParts>
    <vt:vector size="94" baseType="lpstr">
      <vt:lpstr>Август 2021</vt:lpstr>
      <vt:lpstr>Сентябрь 2021</vt:lpstr>
      <vt:lpstr>Октябрь 2021</vt:lpstr>
      <vt:lpstr>Ноябрь 2021</vt:lpstr>
      <vt:lpstr>Декабрь 2021</vt:lpstr>
      <vt:lpstr>Январь 2022</vt:lpstr>
      <vt:lpstr>Февраль 2022</vt:lpstr>
      <vt:lpstr>Март 2022</vt:lpstr>
      <vt:lpstr>Апрель 2022</vt:lpstr>
      <vt:lpstr>Апрель 2022 - Н</vt:lpstr>
      <vt:lpstr>Май 2022</vt:lpstr>
      <vt:lpstr>Май 2022 - Н</vt:lpstr>
      <vt:lpstr>Июнь 2022</vt:lpstr>
      <vt:lpstr>Июнь 2022 - Н</vt:lpstr>
      <vt:lpstr>Июль 2022</vt:lpstr>
      <vt:lpstr>Июль 2022 - Н</vt:lpstr>
      <vt:lpstr>Август 2022</vt:lpstr>
      <vt:lpstr>Сентябрь 2022</vt:lpstr>
      <vt:lpstr>Сентябрь 2022 - Н</vt:lpstr>
      <vt:lpstr>Август 2022 - Н</vt:lpstr>
      <vt:lpstr>Октябрь 2022</vt:lpstr>
      <vt:lpstr>Октябрь 2022 - Н</vt:lpstr>
      <vt:lpstr>Ноябрь 2022</vt:lpstr>
      <vt:lpstr>Ноябрь 2022 - Н</vt:lpstr>
      <vt:lpstr>Декабрь 2022</vt:lpstr>
      <vt:lpstr>Декабрь 2022 - Н</vt:lpstr>
      <vt:lpstr>Январь 2023</vt:lpstr>
      <vt:lpstr>Январь 2023 - Н</vt:lpstr>
      <vt:lpstr>Февраль 2023 - Н</vt:lpstr>
      <vt:lpstr>Февраль 2023</vt:lpstr>
      <vt:lpstr>Март 2023</vt:lpstr>
      <vt:lpstr>Март 2023 - Н</vt:lpstr>
      <vt:lpstr>Апрель 2023</vt:lpstr>
      <vt:lpstr>Апрель 2023 - Н</vt:lpstr>
      <vt:lpstr>Май 2023 </vt:lpstr>
      <vt:lpstr>Май 2023 - Н</vt:lpstr>
      <vt:lpstr>Июнь 2023</vt:lpstr>
      <vt:lpstr>Июнь 2023 - Н</vt:lpstr>
      <vt:lpstr>Июль 2023</vt:lpstr>
      <vt:lpstr>Июль 2023 - Н</vt:lpstr>
      <vt:lpstr>Август 2023</vt:lpstr>
      <vt:lpstr>Август 2023 - Н</vt:lpstr>
      <vt:lpstr>Сентябрь 2023</vt:lpstr>
      <vt:lpstr>Сентябрь 2023 - Н</vt:lpstr>
      <vt:lpstr>Октябрь 2023 - УУ</vt:lpstr>
      <vt:lpstr>Октябрь 2023 - НН</vt:lpstr>
      <vt:lpstr>Ноябрь 2023- УУ</vt:lpstr>
      <vt:lpstr>Ноябрь 2023 - НН</vt:lpstr>
      <vt:lpstr>Декабрь 2023 УУ</vt:lpstr>
      <vt:lpstr>Декабрь 2023</vt:lpstr>
      <vt:lpstr>Январь 2024 - УУ</vt:lpstr>
      <vt:lpstr>Январь 2024</vt:lpstr>
      <vt:lpstr>Февраль 2024-УУ</vt:lpstr>
      <vt:lpstr>Февраль 2024</vt:lpstr>
      <vt:lpstr>Март 2024-УУ</vt:lpstr>
      <vt:lpstr>Март 2024</vt:lpstr>
      <vt:lpstr>Апрель 2024-УУ</vt:lpstr>
      <vt:lpstr>Апрель 2024</vt:lpstr>
      <vt:lpstr>Май 2024-УУ</vt:lpstr>
      <vt:lpstr>Май 2024</vt:lpstr>
      <vt:lpstr>ИЮНЬ 2024-УУ</vt:lpstr>
      <vt:lpstr>ИЮНЬ 2024</vt:lpstr>
      <vt:lpstr>ИЮЛЬ 2024-УУ</vt:lpstr>
      <vt:lpstr>ИЮЛЬ 2024</vt:lpstr>
      <vt:lpstr>АВГУСТ 2024-УУ</vt:lpstr>
      <vt:lpstr>АВГУСТ 2024</vt:lpstr>
      <vt:lpstr>СЕНТЯБРЬ-УУ 2024</vt:lpstr>
      <vt:lpstr>СЕНТЯБРЬ 2024</vt:lpstr>
      <vt:lpstr>ОКТЯБРЬ 2024-УУ</vt:lpstr>
      <vt:lpstr>ОКТЯБРЬ 2024</vt:lpstr>
      <vt:lpstr>НОЯБРЬ 2024-УУ</vt:lpstr>
      <vt:lpstr>НОЯБРЬ 2024</vt:lpstr>
      <vt:lpstr>ДЕКАБРЬ 2024-УУ</vt:lpstr>
      <vt:lpstr>ДЕКАБРЬ 2024</vt:lpstr>
      <vt:lpstr>ЯНВАРЬ 2025-УУ</vt:lpstr>
      <vt:lpstr>ЯНВАРЬ 2025</vt:lpstr>
      <vt:lpstr>ФЕВРАЛЬ 2025-УУ</vt:lpstr>
      <vt:lpstr>ФЕВРАЛЬ 2025</vt:lpstr>
      <vt:lpstr>МАРТ 2025-УУ</vt:lpstr>
      <vt:lpstr>МАРТ 2025</vt:lpstr>
      <vt:lpstr>АПРЕЛЬ 2025-УУ</vt:lpstr>
      <vt:lpstr>АПРЕЛЬ 2025</vt:lpstr>
      <vt:lpstr>МАЙ 2025-УУ</vt:lpstr>
      <vt:lpstr>МАЙ 2025</vt:lpstr>
      <vt:lpstr>ИЮНЬ 2025-УУ</vt:lpstr>
      <vt:lpstr>ИЮНЬ 2025</vt:lpstr>
      <vt:lpstr>ИЮЛЬ 2025-УУ</vt:lpstr>
      <vt:lpstr>ИЮЛЬ 2025</vt:lpstr>
      <vt:lpstr>АВГУСТ 2025-УУ</vt:lpstr>
      <vt:lpstr>АВГУСТ 2025</vt:lpstr>
      <vt:lpstr>СЕНТЯБРЬ 2025-УУ</vt:lpstr>
      <vt:lpstr>СЕНТЯБРЬ 2025</vt:lpstr>
      <vt:lpstr>Октябрь 2025-УУ</vt:lpstr>
      <vt:lpstr>Октябрь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Egor Nikulin</cp:lastModifiedBy>
  <dcterms:modified xsi:type="dcterms:W3CDTF">2025-11-09T06:55:53Z</dcterms:modified>
</cp:coreProperties>
</file>